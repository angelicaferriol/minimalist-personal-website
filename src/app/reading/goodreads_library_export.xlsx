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angelica/minimalist-personal-website/src/app/reading/"/>
    </mc:Choice>
  </mc:AlternateContent>
  <xr:revisionPtr revIDLastSave="0" documentId="8_{91A39D74-61D9-844A-8A40-3AAE0E287B3B}" xr6:coauthVersionLast="47" xr6:coauthVersionMax="47" xr10:uidLastSave="{00000000-0000-0000-0000-000000000000}"/>
  <bookViews>
    <workbookView xWindow="60" yWindow="600" windowWidth="28040" windowHeight="15480" xr2:uid="{FF54D1EA-D56E-D14B-B9EA-CBB04A64EF4F}"/>
  </bookViews>
  <sheets>
    <sheet name="goodreads_library_ex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G2" i="1"/>
  <c r="F3" i="1"/>
  <c r="G3" i="1"/>
  <c r="F4" i="1"/>
  <c r="G4" i="1"/>
  <c r="F5" i="1"/>
  <c r="G5"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F67" i="1"/>
  <c r="G67" i="1"/>
  <c r="F68" i="1"/>
  <c r="G68" i="1"/>
  <c r="F69" i="1"/>
  <c r="G69" i="1"/>
  <c r="F70" i="1"/>
  <c r="G70" i="1"/>
  <c r="F71" i="1"/>
  <c r="G71" i="1"/>
  <c r="F72" i="1"/>
  <c r="G72" i="1"/>
  <c r="F73" i="1"/>
  <c r="G73" i="1"/>
  <c r="F74" i="1"/>
  <c r="G74" i="1"/>
  <c r="F75" i="1"/>
  <c r="G75" i="1"/>
  <c r="F76" i="1"/>
  <c r="G76" i="1"/>
  <c r="F77" i="1"/>
  <c r="G77" i="1"/>
  <c r="F78" i="1"/>
  <c r="G78" i="1"/>
  <c r="F79" i="1"/>
  <c r="G79" i="1"/>
  <c r="F80" i="1"/>
  <c r="G80" i="1"/>
  <c r="F81" i="1"/>
  <c r="G81" i="1"/>
  <c r="F82" i="1"/>
  <c r="G82" i="1"/>
  <c r="F83" i="1"/>
  <c r="G83" i="1"/>
  <c r="F84" i="1"/>
  <c r="G84" i="1"/>
  <c r="F85" i="1"/>
  <c r="G85" i="1"/>
  <c r="F86" i="1"/>
  <c r="G86" i="1"/>
  <c r="F87" i="1"/>
  <c r="G87" i="1"/>
  <c r="F88" i="1"/>
  <c r="G88" i="1"/>
  <c r="F89" i="1"/>
  <c r="G89" i="1"/>
  <c r="F90" i="1"/>
  <c r="G90" i="1"/>
  <c r="F91" i="1"/>
  <c r="G91" i="1"/>
  <c r="F92" i="1"/>
  <c r="G92" i="1"/>
  <c r="F93" i="1"/>
  <c r="G93" i="1"/>
  <c r="F94" i="1"/>
  <c r="G94" i="1"/>
  <c r="F95" i="1"/>
  <c r="G95" i="1"/>
  <c r="F96" i="1"/>
  <c r="G96" i="1"/>
  <c r="F97" i="1"/>
  <c r="G97" i="1"/>
  <c r="F98" i="1"/>
  <c r="G98" i="1"/>
  <c r="F99" i="1"/>
  <c r="G99" i="1"/>
  <c r="F100" i="1"/>
  <c r="G100" i="1"/>
  <c r="F101" i="1"/>
  <c r="G101" i="1"/>
  <c r="F102" i="1"/>
  <c r="G102" i="1"/>
  <c r="F103" i="1"/>
  <c r="G103" i="1"/>
  <c r="F104" i="1"/>
  <c r="G104" i="1"/>
  <c r="F105" i="1"/>
  <c r="G105" i="1"/>
  <c r="F106" i="1"/>
  <c r="G106" i="1"/>
  <c r="F107" i="1"/>
  <c r="G107" i="1"/>
  <c r="F108" i="1"/>
  <c r="G108" i="1"/>
  <c r="F109" i="1"/>
  <c r="G109" i="1"/>
  <c r="F110" i="1"/>
  <c r="G110" i="1"/>
  <c r="F111" i="1"/>
  <c r="G111" i="1"/>
  <c r="F112" i="1"/>
  <c r="G112" i="1"/>
  <c r="F113" i="1"/>
  <c r="G113" i="1"/>
  <c r="F114" i="1"/>
  <c r="G114" i="1"/>
  <c r="F115" i="1"/>
  <c r="G115" i="1"/>
  <c r="F116" i="1"/>
  <c r="G116" i="1"/>
  <c r="F117" i="1"/>
  <c r="G117" i="1"/>
  <c r="F118" i="1"/>
  <c r="G118" i="1"/>
  <c r="F119" i="1"/>
  <c r="G119" i="1"/>
  <c r="F120" i="1"/>
  <c r="G120" i="1"/>
  <c r="F121" i="1"/>
  <c r="G121" i="1"/>
  <c r="F122" i="1"/>
  <c r="G122" i="1"/>
  <c r="F123" i="1"/>
  <c r="G123" i="1"/>
  <c r="F124" i="1"/>
  <c r="G124" i="1"/>
  <c r="F125" i="1"/>
  <c r="G125" i="1"/>
  <c r="F126" i="1"/>
  <c r="G126" i="1"/>
  <c r="F127" i="1"/>
  <c r="G127" i="1"/>
  <c r="F128" i="1"/>
  <c r="G128" i="1"/>
  <c r="F129" i="1"/>
  <c r="G129" i="1"/>
  <c r="F130" i="1"/>
  <c r="G130" i="1"/>
  <c r="F131" i="1"/>
  <c r="G131" i="1"/>
  <c r="F132" i="1"/>
  <c r="G132" i="1"/>
  <c r="F133" i="1"/>
  <c r="G133" i="1"/>
  <c r="F134" i="1"/>
  <c r="G134" i="1"/>
  <c r="F135" i="1"/>
  <c r="G135" i="1"/>
  <c r="F136" i="1"/>
  <c r="G136" i="1"/>
  <c r="F137" i="1"/>
  <c r="G137" i="1"/>
  <c r="F138" i="1"/>
  <c r="G138" i="1"/>
  <c r="F139" i="1"/>
  <c r="G139" i="1"/>
  <c r="F140" i="1"/>
  <c r="G140" i="1"/>
  <c r="F141" i="1"/>
  <c r="G141" i="1"/>
  <c r="F142" i="1"/>
  <c r="G142" i="1"/>
  <c r="F143" i="1"/>
  <c r="G143" i="1"/>
  <c r="F144" i="1"/>
  <c r="G144" i="1"/>
  <c r="F145" i="1"/>
  <c r="G145" i="1"/>
  <c r="F146" i="1"/>
  <c r="G146" i="1"/>
  <c r="F147" i="1"/>
  <c r="G147" i="1"/>
  <c r="F148" i="1"/>
  <c r="G148" i="1"/>
  <c r="F149" i="1"/>
  <c r="G149" i="1"/>
  <c r="F150" i="1"/>
  <c r="G150" i="1"/>
</calcChain>
</file>

<file path=xl/sharedStrings.xml><?xml version="1.0" encoding="utf-8"?>
<sst xmlns="http://schemas.openxmlformats.org/spreadsheetml/2006/main" count="1238" uniqueCount="780">
  <si>
    <t>Book Id</t>
  </si>
  <si>
    <t>Title</t>
  </si>
  <si>
    <t>Author</t>
  </si>
  <si>
    <t>Author l-f</t>
  </si>
  <si>
    <t>Additional Authors</t>
  </si>
  <si>
    <t>ISBN</t>
  </si>
  <si>
    <t>ISBN13</t>
  </si>
  <si>
    <t>My Rating</t>
  </si>
  <si>
    <t>Publisher</t>
  </si>
  <si>
    <t>Binding</t>
  </si>
  <si>
    <t>Number of Pages</t>
  </si>
  <si>
    <t>Year Published</t>
  </si>
  <si>
    <t>Original Publication Year</t>
  </si>
  <si>
    <t>Date Read</t>
  </si>
  <si>
    <t>Date Added</t>
  </si>
  <si>
    <t>Bookshelves</t>
  </si>
  <si>
    <t>Bookshelves with positions</t>
  </si>
  <si>
    <t>Exclusive Shelf</t>
  </si>
  <si>
    <t>My Review</t>
  </si>
  <si>
    <t>Spoiler</t>
  </si>
  <si>
    <t>Private Notes</t>
  </si>
  <si>
    <t>Read Count</t>
  </si>
  <si>
    <t>Owned Copies</t>
  </si>
  <si>
    <t>Satantango</t>
  </si>
  <si>
    <t>L√°szl√≥ Krasznahorkai</t>
  </si>
  <si>
    <t>Krasznahorkai, L√°szl√≥</t>
  </si>
  <si>
    <t>George Szirtes</t>
  </si>
  <si>
    <t>New Directions</t>
  </si>
  <si>
    <t>Hardcover</t>
  </si>
  <si>
    <t>to-read</t>
  </si>
  <si>
    <t>to-read (#16)</t>
  </si>
  <si>
    <t>Heart of Darkness (A classics illustrated novel by Joseph Conrad)</t>
  </si>
  <si>
    <t>Joseph Conrad</t>
  </si>
  <si>
    <t>Conrad, Joseph</t>
  </si>
  <si>
    <t>Kindle Edition</t>
  </si>
  <si>
    <t>physically-owned</t>
  </si>
  <si>
    <t>physically-owned (#53)</t>
  </si>
  <si>
    <t>read</t>
  </si>
  <si>
    <t>A short read and I feel like its way too compressed. And since I read this alongside Moby Dick I kind of think that the narration of the scenes is way better than M.D. but I still find myself confused with the flow of the events. I don‚Äôt know if Conrad is a racist or not but it shows in his writing lol, which I‚Äôm not really a big fan of. But I still commend some good lines when the narrator is introspecting about life and death.&lt;br/&gt;&lt;br/&gt;‚Äî‚Äî&lt;br/&gt;&lt;br/&gt;P.S. I kind of thought Marlow and Kurtz has this close intimacy but not in a romantic way, just kind of gay LMFAO considering its written in 18th/19th century.üò≠</t>
  </si>
  <si>
    <t>Faust</t>
  </si>
  <si>
    <t>Johann Wolfgang von Goethe</t>
  </si>
  <si>
    <t>Goethe, Johann Wolfgang von</t>
  </si>
  <si>
    <t>Walter Kaufmann</t>
  </si>
  <si>
    <t>Vintage</t>
  </si>
  <si>
    <t>Paperback</t>
  </si>
  <si>
    <t>to-read, physically-owned</t>
  </si>
  <si>
    <t>to-read (#15), physically-owned (#55)</t>
  </si>
  <si>
    <t>Hamlet By William Shakespeare Annotated.</t>
  </si>
  <si>
    <t>William Shakespeare</t>
  </si>
  <si>
    <t>Shakespeare, William</t>
  </si>
  <si>
    <t>Independently published</t>
  </si>
  <si>
    <t>to-read (#14), physically-owned (#54)</t>
  </si>
  <si>
    <t>Moby-Dick or, The Whale</t>
  </si>
  <si>
    <t>Herman Melville</t>
  </si>
  <si>
    <t>Melville, Herman</t>
  </si>
  <si>
    <t>Andrew Delbanco, Tom Quirk</t>
  </si>
  <si>
    <t xml:space="preserve">Penguin Classics </t>
  </si>
  <si>
    <t>physically-owned, currently-reading</t>
  </si>
  <si>
    <t>physically-owned (#17), currently-reading (#5)</t>
  </si>
  <si>
    <t>currently-reading</t>
  </si>
  <si>
    <t>Anna Karenina</t>
  </si>
  <si>
    <t>Leo Tolstoy</t>
  </si>
  <si>
    <t>Tolstoy, Leo</t>
  </si>
  <si>
    <t>physically-owned, russian-literature</t>
  </si>
  <si>
    <t>physically-owned (#45), russian-literature (#5)</t>
  </si>
  <si>
    <t>It took me a while to write this review after finishing the book last month. I had to be in the right mental space to give it a proper yapping.&lt;br/&gt;&lt;br/&gt;Let me be clear: I disliked the plot and the characters. Why? Because the entire premise revolves around infidelity‚Äîand worse, it romanticizes it. The main couple‚Äôs attempts to justify and persist in their transgressions, while shamelessly flaunting their relationship in the face of high society, baffled me, much like Hester Prynne did in The Scarlet Letter. And I‚Äôll admit it: I‚Äôm not mature enough to rationalize or excuse their behavior. Just like with Wuthering Heights, I couldn‚Äôt stand the characters, nor was I interested in trying to understand them. &lt;br/&gt;&lt;br/&gt;But here‚Äôs the thing: I still read all 800+ pages because Tolstoy‚Äôs prose (and this translation in particular) deserves admiration. His writing is compelling. He uses different types of characters and explored several themes, particularly on the second couple that balances the whole story. Furthermore, the way he crafted characters I deeply despised is a proof to his skill. He made me feel something visceral, even if it was disgust. That, in itself, is a good storytelling.&lt;br/&gt;&lt;br/&gt;So no, I didn‚Äôt love the story. But I respect the craft. It‚Äôs a 3.5/5 for me.</t>
  </si>
  <si>
    <t>The Art of Thinking Clearly</t>
  </si>
  <si>
    <t>Rolf Dobelli</t>
  </si>
  <si>
    <t>Dobelli, Rolf</t>
  </si>
  <si>
    <t>Harper Paperbacks</t>
  </si>
  <si>
    <t>physically-owned, self-help</t>
  </si>
  <si>
    <t>physically-owned (#50), self-help (#23)</t>
  </si>
  <si>
    <t>I gave this book a chance despite wanting to drop it multiple times. I enjoyed reading this around 20 snippets during my free time, while eating and on the road. I even analyze and share most of my thoughts and when there‚Äôs chapter I couldn‚Äôt grasp I paused‚Äîthinking I‚Äôm just in a different mental space‚Äîor so I thought. The heck, it gets worse. I barely understand some points because the analogies and citations aren‚Äôt even matching up properly to the idea. The writing was insufferable; it‚Äôs all over the place and I felt like I was wasting my time throughout the latter readings. I could tolerate a more in-depth analysis on those fallacies, not just some pity nonsense explanations that doesn‚Äôt even help to expand the idea. Most stuffs are also just common sense. I even tried to check others‚Äô reviews just in case it‚Äôs just me who misinterpret this book‚Äîbut alas, I share the sentiments. I really regret spending my money on this book.</t>
  </si>
  <si>
    <t>A Gentle Reminder</t>
  </si>
  <si>
    <t>Bianca Sparacino</t>
  </si>
  <si>
    <t>Sparacino, Bianca</t>
  </si>
  <si>
    <t>Thought Catalog Books</t>
  </si>
  <si>
    <t>Meditations</t>
  </si>
  <si>
    <t>Marcus Aurelius</t>
  </si>
  <si>
    <t>Aurelius, Marcus</t>
  </si>
  <si>
    <t>Martin Hammond</t>
  </si>
  <si>
    <t>Penguin Books</t>
  </si>
  <si>
    <t>to-read (#13), physically-owned (#52)</t>
  </si>
  <si>
    <t>The Nicomachean Ethics</t>
  </si>
  <si>
    <t>Aristotle</t>
  </si>
  <si>
    <t>Aristotle, Aristotle</t>
  </si>
  <si>
    <t>Hugh Tredennick, J.A.K. Thomson, Jonathan Barnes</t>
  </si>
  <si>
    <t>Penguin Classics</t>
  </si>
  <si>
    <t>to-read (#12), physically-owned (#51)</t>
  </si>
  <si>
    <t>The Iliad</t>
  </si>
  <si>
    <t>Homer</t>
  </si>
  <si>
    <t>Homer, Homer</t>
  </si>
  <si>
    <t>William Collins</t>
  </si>
  <si>
    <t>physically-owned, did-not-finish</t>
  </si>
  <si>
    <t>physically-owned (#23), did-not-finish (#2)</t>
  </si>
  <si>
    <t>did-not-finish</t>
  </si>
  <si>
    <t>Tales of Mystery and Imagination: A Masterpiece of 19th Century Gothic Horror and Detective Fiction (Collins Classics)</t>
  </si>
  <si>
    <t>Edgar Allan Poe</t>
  </si>
  <si>
    <t>Poe, Edgar Allan</t>
  </si>
  <si>
    <t>physically-owned (#22)</t>
  </si>
  <si>
    <t>Return on Ambition: A Radical Approach to Your Achievement, Growth, and Well-Being</t>
  </si>
  <si>
    <t>Nicolai Chen Nielsen</t>
  </si>
  <si>
    <t>Nielsen, Nicolai Chen</t>
  </si>
  <si>
    <t>Nicolai Tillisch</t>
  </si>
  <si>
    <t>Fast Company Press</t>
  </si>
  <si>
    <t>business-career, self-help, favorites</t>
  </si>
  <si>
    <t>business-career (#9), self-help (#22), favorites (#4)</t>
  </si>
  <si>
    <t>I love it so much. This is the book that I will prolly reread multiple times. I wish I could buy a physical copy of this, unfortunately it‚Äôs not available in local bookstores. Totally recommended for young ambitious adults! 5/5</t>
  </si>
  <si>
    <t>The Stranger in the Lifeboat</t>
  </si>
  <si>
    <t>Mitch Albom</t>
  </si>
  <si>
    <t>Albom, Mitch</t>
  </si>
  <si>
    <t>Harper</t>
  </si>
  <si>
    <t xml:space="preserve">Part of the reason why I read Albom‚Äôs works are because they are really easy and light to read‚Äîone you can enjoy while having head and stomach aches. It‚Äôs my third reading of Albom‚Äôs works and it‚Äôs just the kind of story you can finish in one reading and does not regret picking it up. It‚Äôs not the best work out there, not that remarkable too, but it‚Äôs just on another league of its own. </t>
  </si>
  <si>
    <t>Deep Work: Rules for Focused Success in a Distracted World</t>
  </si>
  <si>
    <t>Cal Newport</t>
  </si>
  <si>
    <t>Newport, Cal</t>
  </si>
  <si>
    <t>Little Brown</t>
  </si>
  <si>
    <t>physically-owned, self-help, currently-reading</t>
  </si>
  <si>
    <t>physically-owned (#47), self-help (#21), currently-reading (#4)</t>
  </si>
  <si>
    <t>Wuthering Heights</t>
  </si>
  <si>
    <t>Emily Bront√´</t>
  </si>
  <si>
    <t>Bront√´, Emily</t>
  </si>
  <si>
    <t>Richard J. Dunn, Charlotte Bront√´, John Bugg, Robert Heindel</t>
  </si>
  <si>
    <t>Norton</t>
  </si>
  <si>
    <t>physically-owned (#18)</t>
  </si>
  <si>
    <t>Honestly, I can‚Äôt definitively say if Wuthering Heights is a ‚Äúgood‚Äù or ‚Äúbad‚Äù book from a subjective standpoint. I did enjoy reading it at times‚Äîit‚Äôs absolutely worth it if you‚Äôre into psychoanalyzing twisted character dynamics. Objectively speaking, yes‚Äîit‚Äôs a well-written novel with solid narration, a tightly woven plot, and layered literary techniques.&lt;br/&gt;&lt;br/&gt;But you know what they say: a 10/10 book about 0/10 people.&lt;br/&gt;Like, oh my god, I want to respect the complexity of these characters, but it‚Äôs hard when every single one is insufferable. It‚Äôs basically a generational Victorian-era soap opera‚Äîan unromantic romance filled with impulsive fools. I hated almost all of them: the emotionally feral main characters, the og king of rage and vengeance, the unreliable narrators (basically gossipmongers), and the endless cycle of toxic family drama. Ugh.&lt;br/&gt;&lt;br/&gt;So yeah, while I can acknowledge its literary merit, this just isn't my kind of story.&lt;br/&gt;Final verdict: 3.5/5</t>
  </si>
  <si>
    <t>The Scarlet Letter (Wordsworth Classics) by Nathaniel Hawthorne (5-May-1992) Paperback</t>
  </si>
  <si>
    <t>Nathaniel Hawthorne</t>
  </si>
  <si>
    <t>Hawthorne, Nathaniel</t>
  </si>
  <si>
    <t>Wordsworth Editions; Reprint edition (5 May 1992)</t>
  </si>
  <si>
    <t>physically-owned (#4)</t>
  </si>
  <si>
    <t>This book is as dense as everyone warned me it would be‚Äîand the archaic language in the Wordsworth Classics edition didn‚Äôt help. It made the whole thing harder to digest, so I‚Äôll admit, I skimmed through parts.&lt;br/&gt;&lt;br/&gt;That said, I still got the gist of the plot. But to be honest... I didn‚Äôt enjoy the characters. In fact, I downright disliked most of them‚Äîespecially Hester. I couldn‚Äôt understand why she carried herself with such pride after committing adultery, or why she insisted on protecting the father‚Äôs identity. And her treatment of Pearl? Don‚Äôt even get me started. I couldn‚Äôt tell if she truly loved Pearl or just tolerated her‚Äîsometimes she spoke to her like a burden, other times like a miracle. She‚Äôs definitely a complex main character, but I found myself more confused than empathetic.&lt;br/&gt;&lt;br/&gt;In the end, I think this is one of those books I‚Äôll need to revisit when I‚Äôm older‚Äîmaybe with more context about the setting, the time period, and Hawthorne himself. Because right now? My brain and this book are on different wavelengths.</t>
  </si>
  <si>
    <t>Harry Potter and the Chamber of Secrets (Harry Potter, #2)</t>
  </si>
  <si>
    <t>J.K. Rowling</t>
  </si>
  <si>
    <t>Rowling, J.K.</t>
  </si>
  <si>
    <t>Mary GrandPr√©</t>
  </si>
  <si>
    <t>Arthur A. Levine Books</t>
  </si>
  <si>
    <t>physically-owned (#49)</t>
  </si>
  <si>
    <t>Harry Potter and the Philosopher‚Äôs Stone (Harry Potter, #1)</t>
  </si>
  <si>
    <t>Bloomsbury Publishing</t>
  </si>
  <si>
    <t>physically-owned (#48)</t>
  </si>
  <si>
    <t>Dracula</t>
  </si>
  <si>
    <t>Bram Stoker</t>
  </si>
  <si>
    <t>Stoker, Bram</t>
  </si>
  <si>
    <t>Rub√©n Toledo, Nina Auerbach, David J. Skal</t>
  </si>
  <si>
    <t>physically-owned (#15)</t>
  </si>
  <si>
    <t>It‚Äôs a good read‚Äîmakes sense why it‚Äôs considered classic.</t>
  </si>
  <si>
    <t>A Breath of Life</t>
  </si>
  <si>
    <t>Clarice Lispector</t>
  </si>
  <si>
    <t>Lispector, Clarice</t>
  </si>
  <si>
    <t>Johnny Lorenz, Benjamin Moser</t>
  </si>
  <si>
    <t>did-not-finish (#1)</t>
  </si>
  <si>
    <t>I‚Äôm 50% done with the book and I don‚Äôt see the need to continue reading those incoherent and nonsensical thoughts. I gave it a chance, hoping it would be better because I have never drop a book (this is the first one). I get the point that it would be appealing since both Angela and the author‚Äôs thoughts are deep per say‚Äîbut it‚Äôs not giving anything except annoyance. While reading this, I feel like I was merely gulping those words which I initially thought would resonate with me as an empath but no, it‚Äôs rubbish to live so much inside your head.</t>
  </si>
  <si>
    <t>The Almanack of Naval Ravikant: A Guide to Wealth and Happiness</t>
  </si>
  <si>
    <t>Eric Jorgenson</t>
  </si>
  <si>
    <t>Jorgenson, Eric</t>
  </si>
  <si>
    <t>Timothy Ferriss, Naval Ravikant</t>
  </si>
  <si>
    <t>Magrathea Publishing</t>
  </si>
  <si>
    <t>highly-recommended, self-help, favorites</t>
  </si>
  <si>
    <t>highly-recommended (#6), self-help (#2), favorites (#3)</t>
  </si>
  <si>
    <t>I've found resonance and comfort in this book; it's as if a guru is imparting unsaid knowledge vital for thriving in modern society, all while being grounded in a century-old school system.</t>
  </si>
  <si>
    <t>Sapiens: A Brief History of Humankind ‚Äì The #1 New York Times Bestseller Exploring Evolution and Ancient Socieities</t>
  </si>
  <si>
    <t>Yuval Noah Harari</t>
  </si>
  <si>
    <t>Harari, Yuval Noah</t>
  </si>
  <si>
    <t>self-help, physically-owned, favorites</t>
  </si>
  <si>
    <t>self-help (#13), physically-owned (#19), favorites (#2)</t>
  </si>
  <si>
    <t>A book that everyone should read not just once in this lifetime but at least twice every decade.</t>
  </si>
  <si>
    <t>1984 Nineteen Eighty-Four</t>
  </si>
  <si>
    <t>George Orwell</t>
  </si>
  <si>
    <t>Orwell, George</t>
  </si>
  <si>
    <t>highly-recommended, physically-owned, favorites</t>
  </si>
  <si>
    <t>highly-recommended (#2), physically-owned (#36), favorites (#1)</t>
  </si>
  <si>
    <t>I don't know where to begin because I'm still at a loss for words that could articulately describe my thoughts towards this book. But here's the main point: "1984" broke the meter scale. I swear, this is beyond a 5-star rating, considering my selective palate.&lt;br/&gt;&lt;br/&gt;My interest has always been in humanities and social sciences, and "1984" captures its beauty through a nation with a totalitarian government ruled by oligarchies. With this being the status quo, oppression, war, slavery, psychological manipulation, historical forgery, invasion of privacy, language evolution, and other radical changes and issues are present. It presents a perfect dystopian society highlighted with different social classes, from the Inner Party to the proles (similar to Karl Marx‚Äôs bourgeois and proletariat). One concept that is apparent throughout the novel is "Doublethink," a Newspeak word relating to accepting the orthodox while unconsciously manipulating it. A good example is The Party's propaganda and slogan like ‚ÄúFreedom is Slavery‚Äù and the Ministry of Love as the department for torture and punishment.&lt;br/&gt;&lt;br/&gt;To be honest, at the beginning, I wanted to spot a flaw in this book and criticize Orwell. However, "1984" deserves its recognition, and it lives up to its name as one of the best classics ever-written. Orwell's writing style is for the general audience. It has no unnecessary highfalutin words and lengthy sentence structures to sound pretentious and intimidating. The plot is thoroughly researched and well-written. Every chapter either ends by letting you reach the shore or standing at the edge of the cliff. I felt like I was inside a shell while reading this because my guesses were surprisingly always incorrect, making me more invested and excited to read more. The ending is freaking perfect, Orwell slayed and nailed it. As a tea, here's the last line: ‚ÄúHe loved Big Brother.‚Äù&lt;br/&gt;&lt;br/&gt;But more than that, "1984" goes beyond its settings. Its relevance to today's society is uncanny. I now understand why many say this book is a cautionary tale for the future because it predicts the dangers of unchecked authority.&lt;br/&gt;&lt;br/&gt;If you're interested in knowing more about today's society, read this book because we live in Orwell's "1984."</t>
  </si>
  <si>
    <t>The 48 Laws of Power</t>
  </si>
  <si>
    <t>Robert Greene</t>
  </si>
  <si>
    <t>Greene, Robert</t>
  </si>
  <si>
    <t>physically-owned (#21)</t>
  </si>
  <si>
    <t>This was so cynical. Why did I like it few years ago? Hahaha.</t>
  </si>
  <si>
    <t>The Psychology of Money: Timeless Lessons on Wealth, Greed, and Happiness</t>
  </si>
  <si>
    <t>Morgan Housel</t>
  </si>
  <si>
    <t>Housel, Morgan</t>
  </si>
  <si>
    <t>Harriman House</t>
  </si>
  <si>
    <t>to-read, business-career, physically-owned</t>
  </si>
  <si>
    <t>to-read (#11), business-career (#8), physically-owned (#46)</t>
  </si>
  <si>
    <t>The Five People You Meet in Heaven</t>
  </si>
  <si>
    <t>Hyperion</t>
  </si>
  <si>
    <t>Seeds Planted in Concrete</t>
  </si>
  <si>
    <t>self-help</t>
  </si>
  <si>
    <t>self-help (#20)</t>
  </si>
  <si>
    <t>The 38 Letters from J.D. Rockefeller to His Son: Perspectives, Ideology, and Wisdom</t>
  </si>
  <si>
    <t>ËåÉÊØÖÁÑ∂</t>
  </si>
  <si>
    <t>ËåÉÊØÖÁÑ∂, ËåÉÊØÖÁÑ∂</t>
  </si>
  <si>
    <t>business-career, self-help</t>
  </si>
  <si>
    <t>business-career (#7), self-help (#19)</t>
  </si>
  <si>
    <t>Ego.</t>
  </si>
  <si>
    <t>The Road to Wigan Pier</t>
  </si>
  <si>
    <t>HarperCollins</t>
  </si>
  <si>
    <t>physically-owned (#8)</t>
  </si>
  <si>
    <t>A Modest Proposal</t>
  </si>
  <si>
    <t>Jonathan Swift</t>
  </si>
  <si>
    <t>Swift, Jonathan</t>
  </si>
  <si>
    <t>Book Jungle</t>
  </si>
  <si>
    <t>A good satire, funny enough, I hoped he wasn‚Äôt joking. It‚Äôs very a modest proposal, indeed.</t>
  </si>
  <si>
    <t>The Burnout Society</t>
  </si>
  <si>
    <t>Byung-Chul Han</t>
  </si>
  <si>
    <t>Han, Byung-Chul</t>
  </si>
  <si>
    <t>Erik Butler</t>
  </si>
  <si>
    <t>Stanford University Press</t>
  </si>
  <si>
    <t>I think I like this book a little too much‚Äîso much so that I can see myself rereading it 3‚Äì4 times this year. It‚Äôs such a unique find.&lt;br/&gt;&lt;br/&gt;I‚Äôve always come across the idea that mental illnesses or issues like those mentioned in the book are the result of a negative mindset or an unhealthy lifestyle. That perspective never quite sat right with me. Ironically, this book argues that it‚Äôs not negativity but rather excessive positivity in work and performance that‚Äôs at the root of our struggles. Han‚Äôs concept of the "achievement-society" completely resonated with me, especially as someone raised within such a framework.&lt;br/&gt;&lt;br/&gt;He writes:&lt;br/&gt;&lt;br/&gt;&lt;i&gt;‚ÄúThe achievement-subject exploits itself until it burns out. In the process, it develops auto-aggression that often enough escalates into the violence of self-destruction. The project turns out to be a projectile that the achievement-subject is aiming at itself.‚Äù&lt;/i&gt;&lt;br/&gt;&lt;br/&gt;This idea‚Äîthat we are simultaneously the exploiter and the exploited‚Äîperfectly encapsulates the modern condition.&lt;br/&gt;&lt;br/&gt;As for the writing, I found it fascinating how Han weaves together references to philosophers, psychologists, and writers. He doesn‚Äôt just cite their work‚Äîhe frequently challenges and debunks their ideas, which made for thought-provoking reading. That said, the book contains a lot of jargon that required me to look things up. I didn‚Äôt mind this, but the frequent use of unnecessarily complex or "highfalutin" language (perhaps due to translation) did irk me at times.&lt;br/&gt;&lt;br/&gt;Overall, this was an excellent read. To close, I‚Äôll leave you with my favorite line from the book:&lt;br/&gt;&lt;br/&gt;&lt;i&gt;‚ÄúThey are too alive to die, and too dead to live.‚Äù&lt;/i&gt;</t>
  </si>
  <si>
    <t>Courage Is Calling: Fortune Favors the Brave</t>
  </si>
  <si>
    <t>Ryan Holiday</t>
  </si>
  <si>
    <t>Holiday, Ryan</t>
  </si>
  <si>
    <t>Portfolio</t>
  </si>
  <si>
    <t>business-career (#2), self-help (#18)</t>
  </si>
  <si>
    <t>To be honest, I considered this a good book halfway through reading it. Parts 1 and 2 are undeniably engaging, filled with historical background and thoughtful citations from Stoic philosophers. By "easy read," I mean the writing is straightforward‚Äîno complex sentences or overly pretentious language, which I appreciated.&lt;br/&gt;&lt;br/&gt;However, I lost interest in Part 3, which is why it took me a long time to pick the book up again.</t>
  </si>
  <si>
    <t>The Daily Stoic: 366 Meditations for Clarity, Effectiveness, and Serenity</t>
  </si>
  <si>
    <t>Stephen Hanselman</t>
  </si>
  <si>
    <t>currently-reading (#3)</t>
  </si>
  <si>
    <t>The Life of a Stupid Man</t>
  </si>
  <si>
    <t>Ry≈´nosuke Akutagawa</t>
  </si>
  <si>
    <t>Akutagawa, Ry≈´nosuke</t>
  </si>
  <si>
    <t>Jay Rubin</t>
  </si>
  <si>
    <t>A Little Life</t>
  </si>
  <si>
    <t>Hanya Yanagihara</t>
  </si>
  <si>
    <t>Yanagihara, Hanya</t>
  </si>
  <si>
    <t>Doubleday</t>
  </si>
  <si>
    <t>physically-owned (#7), currently-reading (#2)</t>
  </si>
  <si>
    <t>Digital Minimalism: Choosing a Focused Life in a Noisy World</t>
  </si>
  <si>
    <t>self-help, technology</t>
  </si>
  <si>
    <t>self-help (#16), technology (#2)</t>
  </si>
  <si>
    <t>It‚Äôs a good book‚Äîquite insightful. I jotted down the practices and leisure lessons. I also appreciate how it‚Äôs backed up by research, philosophical background, real-life testimonies, and even a personal social experiment. The author‚Äôs personal experiences also add a relatable touch, making the book not only informative but also personable.&lt;br/&gt;&lt;br/&gt;Though I liked all the ideas, I find them common (subjectively) because I‚Äôve been practicing digital minimalism (without knowing the term) for years now. &lt;br/&gt;&lt;br/&gt;But overall, it follows a clear outline and presents strong arguments. The structured approach helps in understanding the step-by-step process of adopting digital minimalism, and the actionable advice makes it practical for me to follow and apply in my life.</t>
  </si>
  <si>
    <t>A Child's Dream of a Star</t>
  </si>
  <si>
    <t>Charles Dickens</t>
  </si>
  <si>
    <t>Dickens, Charles</t>
  </si>
  <si>
    <t>Puplic domain</t>
  </si>
  <si>
    <t>ebook</t>
  </si>
  <si>
    <t>I accidentally passed by to read this and I thought how lovely it is to transcribe into my mother tongue! Sparklingly the idea to actually do so comes to life because I have an academic paper required to translate a piece of literature.&lt;br/&gt;&lt;br/&gt;Dickens, I will always be in debt and awe.</t>
  </si>
  <si>
    <t>Make Something Wonderful</t>
  </si>
  <si>
    <t>Steve Jobs</t>
  </si>
  <si>
    <t>Jobs, Steve</t>
  </si>
  <si>
    <t>The Steve Jobs Archive, LLC</t>
  </si>
  <si>
    <t>memoir, highly-recommended, business-career</t>
  </si>
  <si>
    <t>memoir (#4), highly-recommended (#10), business-career (#6)</t>
  </si>
  <si>
    <t>what a read! will prolly be rereading this multiple times.</t>
  </si>
  <si>
    <t>Shoe Dog</t>
  </si>
  <si>
    <t>Phil Knight</t>
  </si>
  <si>
    <t>Knight, Phil</t>
  </si>
  <si>
    <t>Scribner</t>
  </si>
  <si>
    <t>memoir, business-career</t>
  </si>
  <si>
    <t>memoir (#5), business-career (#5)</t>
  </si>
  <si>
    <t>will read this again! the audiobook won‚Äôt suffice.</t>
  </si>
  <si>
    <t>The Art and Business of Online Writing: How to Beat the Game of Capturing and Keeping Attention</t>
  </si>
  <si>
    <t>Nicolas Cole</t>
  </si>
  <si>
    <t>Cole, Nicolas</t>
  </si>
  <si>
    <t>business-career</t>
  </si>
  <si>
    <t>business-career (#4)</t>
  </si>
  <si>
    <t>The Unfair Advantage: How You Already Have What It Takes to Succeed</t>
  </si>
  <si>
    <t>Ash Ali</t>
  </si>
  <si>
    <t>Ali, Ash</t>
  </si>
  <si>
    <t>Hasan Kubba</t>
  </si>
  <si>
    <t>Profile Books</t>
  </si>
  <si>
    <t>business-career (#3)</t>
  </si>
  <si>
    <t>This book isn't entirely bad, methinks, mainly because the first half is quite informative. However, I lost interest midway as it shifted from a general audience focus to a more specific one‚Äîgeared toward those interested in entrepreneurship. I also observed that the author frequently uses examples of successful and well-known ventures, often repeating them across different chapters and making this book more boring. Some ideas and concepts are also just common sense, while others are overly technical and left unexplained. Overall, it's not terrible, so I might recommend this book if I were part of the intended audience. &lt;br/&gt;</t>
  </si>
  <si>
    <t>It's Not How Good You Are, It's How Good You Want To Be</t>
  </si>
  <si>
    <t>Paul Arden</t>
  </si>
  <si>
    <t>Arden, Paul</t>
  </si>
  <si>
    <t>Phaidon Press</t>
  </si>
  <si>
    <t>business-career (#1), self-help (#17)</t>
  </si>
  <si>
    <t>‚ÄúYou must develop a compl√©t√© disregard for where your abilities end. Try  to  do  the  things  that  you‚Äôre incapable of.‚Äù&lt;br/&gt;</t>
  </si>
  <si>
    <t>Ada Lovelace (DK Life Stories)</t>
  </si>
  <si>
    <t>Nancy F. Castaldo</t>
  </si>
  <si>
    <t>Castaldo, Nancy F.</t>
  </si>
  <si>
    <t>DK Children</t>
  </si>
  <si>
    <t>technology</t>
  </si>
  <si>
    <t>technology (#3)</t>
  </si>
  <si>
    <t>I want to learn more about my mother-to-be, Ada Lovelace, in hope that I'll learn to share her interest. But damn, women in STEM scare me. &lt;br/&gt;&lt;br/&gt;I love the graphic illustration in this book and the text are readable, suitable for young readers.</t>
  </si>
  <si>
    <t>Co-Intelligence: Living and Working with AI</t>
  </si>
  <si>
    <t>Ethan Mollick</t>
  </si>
  <si>
    <t>Mollick, Ethan</t>
  </si>
  <si>
    <t>Virgin Digital</t>
  </si>
  <si>
    <t>technology (#1)</t>
  </si>
  <si>
    <t>The Silent Patient</t>
  </si>
  <si>
    <t>Alex Michaelides</t>
  </si>
  <si>
    <t>Michaelides, Alex</t>
  </si>
  <si>
    <t>Celadon Books</t>
  </si>
  <si>
    <t>physically-owned (#20)</t>
  </si>
  <si>
    <t>i fucking love this. rarely have i read a contemporary fiction that i can‚Äôt bring myself to put down.&lt;br/&gt;&lt;br/&gt;so where do i start? first, this is the first book that i read with a penpal (halfway through it) and i was super enthusiastic to research and scrutinize every bits of it. oh how i love annotating this one with all my theories.&lt;br/&gt;&lt;br/&gt;the plot, the character, the twist, the end! hands down. this is so good.</t>
  </si>
  <si>
    <t>Candide</t>
  </si>
  <si>
    <t>Voltaire</t>
  </si>
  <si>
    <t>Voltaire, Voltaire</t>
  </si>
  <si>
    <t>Gita May, Henry Morley, Lauren Walsh</t>
  </si>
  <si>
    <t>Barnes and Noble Classics</t>
  </si>
  <si>
    <t>physically-owned (#43)</t>
  </si>
  <si>
    <t>One of the gems that I genuinely enjoyed.</t>
  </si>
  <si>
    <t>Herland (The Herland Trilogy, #2)</t>
  </si>
  <si>
    <t>Charlotte Perkins Gilman</t>
  </si>
  <si>
    <t>Gilman, Charlotte Perkins</t>
  </si>
  <si>
    <t>Pantheon</t>
  </si>
  <si>
    <t>friends-recommendation</t>
  </si>
  <si>
    <t>friends-recommendation (#2)</t>
  </si>
  <si>
    <t>it‚Äôs boring, cliche, and predictable. i feel so rude by writing this but those three words are the only thing i could think of while reading the book.</t>
  </si>
  <si>
    <t>A Box of Matches</t>
  </si>
  <si>
    <t>Nicholson Baker</t>
  </si>
  <si>
    <t>Baker, Nicholson</t>
  </si>
  <si>
    <t>Random House</t>
  </si>
  <si>
    <t>physically-owned (#5)</t>
  </si>
  <si>
    <t>Books written by old men always caught me. I like to read their thoughts, and this book depicts the daily musings of a father in his forties. It‚Äôs a simple narration and a very mundane life, yet it wasn‚Äôt boring‚Äîor maybe it was for others, but I love reading such stories. No clear plots, high points, or any stressors. I‚Äôm just reading it and I got lost in the words. It‚Äôs good.</t>
  </si>
  <si>
    <t>Fifty Shades of Grey (Fifty Shades, #1)</t>
  </si>
  <si>
    <t>E.L. James</t>
  </si>
  <si>
    <t>James, E.L.</t>
  </si>
  <si>
    <t>Arrow Books</t>
  </si>
  <si>
    <t>to-read (#4), physically-owned (#44)</t>
  </si>
  <si>
    <t>Thirteen Reasons Why</t>
  </si>
  <si>
    <t>Jay Asher</t>
  </si>
  <si>
    <t>Asher, Jay</t>
  </si>
  <si>
    <t>PENGUIN</t>
  </si>
  <si>
    <t>physically-owned (#42)</t>
  </si>
  <si>
    <t>Pride and Prejudice</t>
  </si>
  <si>
    <t>Jane Austen</t>
  </si>
  <si>
    <t>Austen, Jane</t>
  </si>
  <si>
    <t>Bantam Classic</t>
  </si>
  <si>
    <t>Mass Market Paperback</t>
  </si>
  <si>
    <t>physically-owned (#41)</t>
  </si>
  <si>
    <t>Lord of the Flies</t>
  </si>
  <si>
    <t>William Golding</t>
  </si>
  <si>
    <t>Golding, William</t>
  </si>
  <si>
    <t>E.L. Epstein</t>
  </si>
  <si>
    <t>The Putnam Publishing Group</t>
  </si>
  <si>
    <t>physically-owned (#40)</t>
  </si>
  <si>
    <t>I love the theme and symbolisms applied in this survival story. But tbh, I'm confused at the beginning till the ending... I feel like there are missing information that are deliberately left out.</t>
  </si>
  <si>
    <t>The Seven Husbands of Evelyn Hugo</t>
  </si>
  <si>
    <t>Taylor Jenkins Reid</t>
  </si>
  <si>
    <t>Reid, Taylor Jenkins</t>
  </si>
  <si>
    <t>‚ÄéSimon &amp; Schuster UK</t>
  </si>
  <si>
    <t>physically-owned (#39)</t>
  </si>
  <si>
    <t>I believed I had set my expectations too high due to the hype. I even purchased the physical copy, thinking I might regret not doing so, only to find myself feeling the opposite.&lt;br/&gt;&lt;br/&gt;My annotated tabs are categorized into four shades: (a) maroon for parts despising Evelyn, (b) scarlet red for the positive aspects, (c) yellow-green for distasteful content, and (d) yellow for striking and witty quotes. Regrettably, the book ended up with alternating maroon and yellow-green tabs only.&lt;br/&gt;&lt;br/&gt;The portrayal of relationships, marriages, and sex involving Evelyn's husbands wasn't innovative or refreshing. It felt akin to watching old clich√© soap operas, and merging them into a single story felt nightmarish. While Jenkins' chronological alignment and development of each relationship were commendable, they failed to captivate me. I found the plot flow mediocre and lacking excitement, especially concerning the epiphanies and twists, which felt common and uninteresting.&lt;br/&gt;&lt;br/&gt;One of the main reasons for my dislike of this book is Evelyn Hugo herself. She's a character designed to be disliked (perhaps the author's intention). She exhibits traits of manipulation, eccentricity, selfishness, immorality, cunning, and foolishness. She isn't the sharpest tool in the box; most of her actions stem from a hunger for fame/wealth or pure impulsiveness. Her ignorance and foolishness bothered me greatly. To compound matters, she's fully conscious of her own hypocrisy and wickedness. While she underwent the character development I sought, the author undermined the supporting characters, specifically Celia.&lt;br/&gt;&lt;br/&gt;Acknowledging the subjectivity, I don't align strictly with either liberalism or conservatism; I often reside in the gray area of the spectrum. When Jenkins touts this book as women's empowerment or an awakening against patriarchy, I respectfully disagree. Evelyn consistently relied on men to gain power and mask her cowardice. Though strong and brave, she led a toxic life. I detested Evelyn's failure to take full responsibility for her actions. Her pursuit of luxury and comfort led to significant life mistakes, persisting until death. Hence, she could only unveil her true self (as she termed it) when she had nothing left to lose.&lt;br/&gt;&lt;br/&gt;Turning to Monique, her personality is off-putting. If this book were Evelyn's biography, she'd seem like a gossipmonger who intrudes on others' lives without effectively highlighting moral lessons while boosting explicit and obscene content.&lt;br/&gt;&lt;br/&gt;Despite the flaws outweighing the positives, I'm giving this a fair rating because I did derive some enjoyment from reading it at certain points. It also addresses real-life issues that warrant attention. However, I recognize this story doesn't align with my preferences (though I understand its appeal to some readers). I doubt I'd reread or recommend it.</t>
  </si>
  <si>
    <t>War and Anti-War - Making Sense of Today's Global Chaos</t>
  </si>
  <si>
    <t>Alvin Toffler</t>
  </si>
  <si>
    <t>Toffler, Alvin</t>
  </si>
  <si>
    <t>Heidi Toffler</t>
  </si>
  <si>
    <t>Warner Books Inc</t>
  </si>
  <si>
    <t>physically-owned (#38)</t>
  </si>
  <si>
    <t>A fascinating read, as it delves into and analyzes war in relation to politics and technology, based on past events and hypothesizes about its future. Although the context is no longer relevant in this age, considering it was published in the year 1993, it's entertaining to read realistic presumptions that are actually occurring in the present times. However, a few theories are outdated, and I doubt their accuracy since unprecedented changes continuously occur as time flows.</t>
  </si>
  <si>
    <t>On Earth We're Briefly Gorgeous</t>
  </si>
  <si>
    <t>Ocean Vuong</t>
  </si>
  <si>
    <t>Vuong, Ocean</t>
  </si>
  <si>
    <t>Penguin Press</t>
  </si>
  <si>
    <t>physically-owned (#37)</t>
  </si>
  <si>
    <t>&lt;b&gt;If life in its rawest form is written, this has to be it.&lt;/b&gt;&lt;br/&gt;&lt;br/&gt;This book punched me right off the start with its perfectly crafted metaphors. I'm a sucker for descriptive, flowery narrations written almost in lyrical poetry. The writing technique is also uncommon, and I know how challenging it is to pull that off‚Äîbut Vuong did it as if he invented it! He's a genius for choosing "On Earth We're Briefly Gorgeous" as the title. I can't think of another book with a title so fitting to its content.&lt;br/&gt;&lt;br/&gt;And going to the flesh of the novel, it didn't disappoint! The beginning was captivating, but I must admit there were a couple of chapters in the middle part that I found uninteresting and repetitive. However, this doesn't affect my perfect rating because this novel has so much to offer. It delves into topics such as &lt;s&gt;racism, war, LGBTQIA, mental health, abuse, abortion, suicide, and death&lt;/s&gt;. I found myself holding my breath several times in the latter chapters because it was so remarkably beautiful. I wanted to scream, wail, and wallow all at the same time.</t>
  </si>
  <si>
    <t>Animal Farm</t>
  </si>
  <si>
    <t>physically-owned (#35)</t>
  </si>
  <si>
    <t>Orwell did it again, I'm speechless. A chef-d'≈ìuvre indeed!</t>
  </si>
  <si>
    <t>The Art of War</t>
  </si>
  <si>
    <t>Sun Tzu</t>
  </si>
  <si>
    <t>Tzu, Sun</t>
  </si>
  <si>
    <t>Collins Classics</t>
  </si>
  <si>
    <t>physically-owned (#34)</t>
  </si>
  <si>
    <t>I think I understand why Sun Tzu's words still live up to this date. Besides its fascinating and thought-provoking philosophy, it offers real-life application beyond the concept of war. With this being said, my head actually hurts after reading this. I struggled to keep up understanding the perspectives, in an attempt to apply it to my situations. I need to work on my comprehension level.</t>
  </si>
  <si>
    <t>The Catcher in the Rye</t>
  </si>
  <si>
    <t>J.D. Salinger</t>
  </si>
  <si>
    <t>Salinger, J.D.</t>
  </si>
  <si>
    <t>Back Bay Books</t>
  </si>
  <si>
    <t>highly-recommended, physically-owned</t>
  </si>
  <si>
    <t>highly-recommended (#5), physically-owned (#33)</t>
  </si>
  <si>
    <t>The Subtle Art of Not Giving a Fuck</t>
  </si>
  <si>
    <t>Mark Manson</t>
  </si>
  <si>
    <t>Manson, Mark</t>
  </si>
  <si>
    <t>self-help, physically-owned</t>
  </si>
  <si>
    <t>self-help (#4), physically-owned (#32)</t>
  </si>
  <si>
    <t>This book wasn't really meant for me, but regardless, I decided to give it a read to pass the time.&lt;br/&gt;&lt;br/&gt;Right from the beginning, the writing style felt quite messy and, to be honest, it annoyed me. It was a casual read, but its content delved into the messed-up aspects of our lives. And that's precisely why this book didn't resonate with me‚Äîit offered a subjective, black and white perspective on the world and the people within it. I suppose it gained popularity because it appealed to a certain crowd who appreciates that kind of messaging.&lt;br/&gt;&lt;br/&gt;Manson touched on various concepts, such as entitlement, values, relationships, and even death. However, this approach posed a problem for me as the short read ended up feeling too broad, losing the essence I was expecting. There were too many points to cover, and some of them lacked focus, especially when unnecessary stories were thrown in.&lt;br/&gt;&lt;br/&gt;Despite my criticisms, I'm still giving this book a two-star rating because it did address problems and propose solutions. Although it deviated along the way, I believe Manson achieved his intended goal. However, I don't think it qualifies as a good self-help book for a general audience.</t>
  </si>
  <si>
    <t>Letters from a Stoic</t>
  </si>
  <si>
    <t>Seneca</t>
  </si>
  <si>
    <t>Seneca, Seneca</t>
  </si>
  <si>
    <t>self-help (#7), physically-owned (#31)</t>
  </si>
  <si>
    <t>One of my buried selves would have loved this book. Unfortunately, the words seem to float inside my head. Although, I cannot deny that there are few perspectives that I find interesting and enlightening.</t>
  </si>
  <si>
    <t>Everything is F*cked: A Book About Hope</t>
  </si>
  <si>
    <t>Roger Wayne</t>
  </si>
  <si>
    <t>Audible Audio</t>
  </si>
  <si>
    <t>self-help (#8), physically-owned (#30)</t>
  </si>
  <si>
    <t>"How to have hope? Start a religion." ‚Äì Everything is Indeed Fucking Fucked&lt;br/&gt;&lt;br/&gt;One thing is clear‚ÄîGoogle lied; this is not a self-help book. It's a compilation of blogs that defined and pointed out the uses of "hope" as a tool to delude oneself. In fact, most parts can be standalone blogs because they have independent ideas that shattered the cohesion and cohesiveness of the book's theme.&lt;br/&gt;&lt;br/&gt;Besides Manson's oversimplification of philosophical and psychological concepts (which made this shallow and wordy), the way he utilized analogies for intradisciplinary ideas is inauthentic. He also has forced, unfunny humor that led to an unnatural writing approach.&lt;br/&gt;&lt;br/&gt;I tried to read this slowly, in the hope that I can adjust to Manson's poor narrative skills. Then I noticed why I couldn't digest his words; they're overflowing with logical fallacies. Manson is vulnerable to slippery slope arguments, hasty generalizations, and dichotomous claims. His reasons are all over the place, making it difficult to agree with his thinking.&lt;br/&gt;&lt;br/&gt;However, this book does contain some tolerable perspectives. In the latter pages, when he talked about politics, the economy, algorithms, and AI, he finally caught my interest. I liked how there's no unnecessary analogy or unrelated research being thrown into those parts. Manson finally wrote in a decent narrative. But don't get me started with the conclusion; it's full of contradictions and fallacies. What a way to end a fucked up book.</t>
  </si>
  <si>
    <t>Atomic Habits: An Easy &amp; Proven Way to Build Good Habits &amp; Break Bad Ones</t>
  </si>
  <si>
    <t>James Clear</t>
  </si>
  <si>
    <t>Clear, James</t>
  </si>
  <si>
    <t>Avery</t>
  </si>
  <si>
    <t>self-help (#14), physically-owned (#29)</t>
  </si>
  <si>
    <t>&lt;i&gt;One of the best!&lt;/i&gt;</t>
  </si>
  <si>
    <t>The Prophet</t>
  </si>
  <si>
    <t>Kahlil Gibran</t>
  </si>
  <si>
    <t>Gibran, Kahlil</t>
  </si>
  <si>
    <t>Borzoi Books/Alfred A. Knopf, Inc.</t>
  </si>
  <si>
    <t>poetry, physically-owned</t>
  </si>
  <si>
    <t>poetry (#3), physically-owned (#28)</t>
  </si>
  <si>
    <t>A beautifully crafted collection of prose-poetry with a captivating narrative. This spiritual book contains profound words of wisdom, although some might be subject to debate due to my different beliefs. I've managed to embrace several enlightening thoughts, despite finding Gibran's wordplay somewhat shallow and the metaphorical tone slightly off. Nevertheless, it remains tolerable.&lt;br/&gt;&lt;br/&gt;The first thought that captured me: ‚ÄúWhat can I say about these individuals except that they also bask in the sunlight, yet with their backs turned to the sun? They solely perceive their shadows, mistaking them for their laws. And to them, what is the sun but a creator of shadows?‚Äù</t>
  </si>
  <si>
    <t>The Ink Dark Moon: Love Poems by Ono no Komachi and Izumi Shikibu, Women of the Ancient Court of Japan</t>
  </si>
  <si>
    <t>Ono no Komachi</t>
  </si>
  <si>
    <t>Komachi, Ono no</t>
  </si>
  <si>
    <t>Izumi Shikibu, Jane Hirshfield, Mariko Aratani</t>
  </si>
  <si>
    <t>poetry, japanese-literature, physically-owned</t>
  </si>
  <si>
    <t>poetry (#1), japanese-literature (#8), physically-owned (#27)</t>
  </si>
  <si>
    <t>one of my favorite poetry collections</t>
  </si>
  <si>
    <t>Shale</t>
  </si>
  <si>
    <t>Vona Groarke</t>
  </si>
  <si>
    <t>Groarke, Vona</t>
  </si>
  <si>
    <t>Lilliput Pr Ltd</t>
  </si>
  <si>
    <t>poetry (#2), physically-owned (#26)</t>
  </si>
  <si>
    <t>A Child's Garden of Verses</t>
  </si>
  <si>
    <t>Robert Louis Stevenson</t>
  </si>
  <si>
    <t>Stevenson, Robert Louis</t>
  </si>
  <si>
    <t>Tasha Tudor</t>
  </si>
  <si>
    <t>Simon &amp; Schuster Books for Young Readers</t>
  </si>
  <si>
    <t>poetry (#5), physically-owned (#25)</t>
  </si>
  <si>
    <t>I just missed R.L. Stevenson's words so I give this one a go, but to my disappoinment, this book is not meant for me to read. It's a poetry collection for children, hence with my limited sense of connection, I couldn't bring myself to like this book.</t>
  </si>
  <si>
    <t>Cut Me Loose: Sin and Salvation After My Ultra-Orthodox Girlhood</t>
  </si>
  <si>
    <t>Leah Vincent</t>
  </si>
  <si>
    <t>Vincent, Leah</t>
  </si>
  <si>
    <t>Penguin Publishing Group</t>
  </si>
  <si>
    <t>memoir, physically-owned</t>
  </si>
  <si>
    <t>memoir (#1), physically-owned (#24)</t>
  </si>
  <si>
    <t>lots of triggering content but it's an eye-opener, and enabled me to look at different perspectives. damn.</t>
  </si>
  <si>
    <t>Jane Eyre</t>
  </si>
  <si>
    <t>Charlotte Bront√´</t>
  </si>
  <si>
    <t>Bront√´, Charlotte</t>
  </si>
  <si>
    <t>Michael Mason</t>
  </si>
  <si>
    <t>Penguin</t>
  </si>
  <si>
    <t>to-read (#6), physically-owned (#16)</t>
  </si>
  <si>
    <t>The Diary of a Young Girl</t>
  </si>
  <si>
    <t>Anne Frank</t>
  </si>
  <si>
    <t>Frank, Anne</t>
  </si>
  <si>
    <t>Eleanor Roosevelt, Susan Massotty, ŒìŒπŒ¨ŒΩŒΩŒ∑œÇ ŒòœâŒºœåœÄŒøœÖŒªŒøœÇ, Barbara Mooyaart-Doubleday, Otto H. Frank, Mirjam Pressler</t>
  </si>
  <si>
    <t>Bantam</t>
  </si>
  <si>
    <t>memoir, to-read, physically-owned</t>
  </si>
  <si>
    <t>memoir (#2), to-read (#7), physically-owned (#14)</t>
  </si>
  <si>
    <t>A Dark Inheritance (Unicorne Files, #1)</t>
  </si>
  <si>
    <t>Chris d'Lacey</t>
  </si>
  <si>
    <t>d'Lacey, Chris</t>
  </si>
  <si>
    <t>Scholastic Press</t>
  </si>
  <si>
    <t>to-read (#8), physically-owned (#13)</t>
  </si>
  <si>
    <t>Big Game</t>
  </si>
  <si>
    <t>Dan  Smith</t>
  </si>
  <si>
    <t>Smith, Dan</t>
  </si>
  <si>
    <t>Chicken House</t>
  </si>
  <si>
    <t>to-read (#9), physically-owned (#12)</t>
  </si>
  <si>
    <t>The Story of My Life</t>
  </si>
  <si>
    <t>Helen Keller</t>
  </si>
  <si>
    <t>Keller, Helen</t>
  </si>
  <si>
    <t>Lou Ann Walker</t>
  </si>
  <si>
    <t>Signet Classics</t>
  </si>
  <si>
    <t>memoir (#3), to-read (#10), physically-owned (#11)</t>
  </si>
  <si>
    <t>M. C. Higgins, the Great</t>
  </si>
  <si>
    <t>Virginia Hamilton</t>
  </si>
  <si>
    <t>Hamilton, Virginia</t>
  </si>
  <si>
    <t>Simon Pulse</t>
  </si>
  <si>
    <t>to-read (#3), physically-owned (#10)</t>
  </si>
  <si>
    <t>Burmese Days</t>
  </si>
  <si>
    <t>to-read (#1), physically-owned (#9)</t>
  </si>
  <si>
    <t>Surrounded by Idiots: The Four Types of Human Behavior and How to Effectively Communicate with Each in Business (and in Life)</t>
  </si>
  <si>
    <t>Thomas Erikson</t>
  </si>
  <si>
    <t>Erikson, Thomas</t>
  </si>
  <si>
    <t>St. Martin's Essentials</t>
  </si>
  <si>
    <t>self-help (#15), physically-owned (#6)</t>
  </si>
  <si>
    <t>leisure reading that i enjoy but will not pick up again.</t>
  </si>
  <si>
    <t>Frankenstein (Collins Classics)</t>
  </si>
  <si>
    <t>Mary Wollstonecraft Shelley</t>
  </si>
  <si>
    <t>Shelley, Mary Wollstonecraft</t>
  </si>
  <si>
    <t>physically-owned (#3)</t>
  </si>
  <si>
    <t>The Picture of Dorian Gray</t>
  </si>
  <si>
    <t>Oscar Wilde</t>
  </si>
  <si>
    <t>Wilde, Oscar</t>
  </si>
  <si>
    <t>highly-recommended (#4), physically-owned (#2)</t>
  </si>
  <si>
    <t>Crime and Punishment (Bantam Classics)</t>
  </si>
  <si>
    <t>Fyodor Dostoevsky</t>
  </si>
  <si>
    <t>Dostoevsky, Fyodor</t>
  </si>
  <si>
    <t>Constance Garnett, Joseph Frank</t>
  </si>
  <si>
    <t>Bantam Classics</t>
  </si>
  <si>
    <t>russian-literature, currently-reading, physically-owned</t>
  </si>
  <si>
    <t>russian-literature (#4), currently-reading (#1), physically-owned (#1)</t>
  </si>
  <si>
    <t>Notes from Underground</t>
  </si>
  <si>
    <t>Richard Pevear, Larissa Volokhonsky, Donald Fanger</t>
  </si>
  <si>
    <t>Vintage Classics</t>
  </si>
  <si>
    <t>russian-literature</t>
  </si>
  <si>
    <t>russian-literature (#2)</t>
  </si>
  <si>
    <t>This story revolves around a man who lived too much in his head. I don't know how to clearly put this but the character's notes reflected my thoughts towards him almost accurately, to the point where his self-awareness scared me. &lt;br/&gt;&lt;br/&gt;The plot itself is summarized in the first line: "I am a sick man. I am a spiteful man. I am an unattractive man." He wasn't lying, I swear. Initially, I was fascinated by his cleverness and his thought-provoking philosophical perspectives. I attempted to comprehend his existentialism and absurdity. He was pretentiously intelligent yet maintained a black and white view of life. I grew weary and disgusted by his cynicism and apathy. I despised his egocentrism and superiority complex. He was completely self-absorbed, deluded into thinking he was either at the top of the bell curve or miserably at the bottom, which made him believe he deserved a special place. And what made this even more unpleasant was the fact that he was fully aware of all these aspects, aware of how repugnant he was.&lt;br/&gt;&lt;br/&gt;The introduction of a new character in the story led to some unexpected character development, and even though I subjectively considered this novella to deviate from the usual structure, I appreciated this development because it revealed the character's vulnerability. When he said, "I may degrade and defile myself, but I am not anyone's slave," I had the strong urge to fly to Petersburg and tell him to his face that he was a mere scoundrel, enslaved by his own emotions and thoughts. His suffering had trapped him in his underground‚Äîhis wretched and corrupted soul.&lt;br/&gt;&lt;br/&gt;The mere fact that Dostoevsky‚Äôs words could manifest these emotions is another reason why he is indeed a literary genius. O how I wish I could read Dostoevsky in his mother tongue and be struck by its rawness. If I could purchase a physical copy of this book, I would love to reread it and conduct an in-depth analysis.&lt;br/&gt;&lt;br/&gt;Overall, I enjoyed this book, although I didn't like the character due to Dostoevsky's deliberate portrayal of his despicability. This story also reminded me of "The Death of Ivan Ilych," with old white men fearing their own humanity. Russian literature has a way of conveying that not all books help you escape reality; some torture you with the acceptance of harsh truths.</t>
  </si>
  <si>
    <t>Run, Melos!: English Edition (Japanese Classics)</t>
  </si>
  <si>
    <t>Osamu Dazai</t>
  </si>
  <si>
    <t>Dazai, Osamu</t>
  </si>
  <si>
    <t>japanese-literature</t>
  </si>
  <si>
    <t>japanese-literature (#5)</t>
  </si>
  <si>
    <t>And here I thought this one doesn't sound like Dazai because of its Ancient Greek reference, only to figure out it's a rework of Schiller's Ballad. Not bad tho.</t>
  </si>
  <si>
    <t>The Travelling Cat Chronicles</t>
  </si>
  <si>
    <t>Hiro Arikawa</t>
  </si>
  <si>
    <t>Arikawa, Hiro</t>
  </si>
  <si>
    <t>Philip Gabriel</t>
  </si>
  <si>
    <t>Viking</t>
  </si>
  <si>
    <t>japanese-literature (#6)</t>
  </si>
  <si>
    <t>Tears are still rolling as I write this review, and I'm almost out of tissues. I never thought I would cry over agony from a cat's perspective.&lt;br/&gt;&lt;br/&gt;The story is about a stray cat adopted by a feline lover named Saturo. He names the cat "Nana" because of his hooked tail like the number seven. Nana's character embodies typical feline traits, with a sassy and tsundere attitude‚Äîtruly a cat through and through! Saturo, on the other hand, is a pure cinnamon roll, making it hard for me to forget the ending.&lt;br/&gt;&lt;br/&gt;While this book evokes emotions and delivers a powerful message, it is far from perfect. The switching of point of view is poorly transitioned, moving from the cat's captivating perspective, which I adore, to a third-person POV with mundane flashbacks. The inclusion of unnecessary backstories for every person they meet along the way disrupts the flow of the story and doesn't add notable information. Moreover, it diverts from the title of the story.&lt;br/&gt;&lt;br/&gt;Overall, I am still grateful of Arikawa for writing this beautiful story about the relationship between a cat and its owner, as they explore the beauty of Japan.</t>
  </si>
  <si>
    <t>The Art of Conversation: Twelve Golden Rules</t>
  </si>
  <si>
    <t>Josephine Turck Baker</t>
  </si>
  <si>
    <t>Baker, Josephine Turck</t>
  </si>
  <si>
    <t>self-help, audiobooks</t>
  </si>
  <si>
    <t>self-help (#12), audiobooks (#1)</t>
  </si>
  <si>
    <t>The Dictionary of Obscure Sorrows</t>
  </si>
  <si>
    <t>John Koenig</t>
  </si>
  <si>
    <t>Koenig, John</t>
  </si>
  <si>
    <t>Simon &amp; Schuster</t>
  </si>
  <si>
    <t>self-help, highly-recommended</t>
  </si>
  <si>
    <t>self-help (#9), highly-recommended (#8)</t>
  </si>
  <si>
    <t>I found a friend in this book; someone who sits with you under the clouds, talks about the mundane things, and comforts you without patronizing or telling you who you should be and what should you not do. It's just something that understands you perfectly as if it has seen the world in your own eyes. I never thought I would feel this nostalgic feeling while reading a book‚Äîa dictionary to be exact.</t>
  </si>
  <si>
    <t>My Fate According to the Butterfly</t>
  </si>
  <si>
    <t>Gail D. Villanueva</t>
  </si>
  <si>
    <t>Villanueva, Gail D.</t>
  </si>
  <si>
    <t>friends-recommendation, written-by-a-filipino</t>
  </si>
  <si>
    <t>friends-recommendation (#4), written-by-a-filipino (#1)</t>
  </si>
  <si>
    <t>Short and heartwarming read that explores various issues in the Philippine context. It's eye-opener.</t>
  </si>
  <si>
    <t>Midnight Monologues</t>
  </si>
  <si>
    <t>Charissa Ong Ty</t>
  </si>
  <si>
    <t>Ty, Charissa Ong</t>
  </si>
  <si>
    <t>Penwings Publishing</t>
  </si>
  <si>
    <t>poetry</t>
  </si>
  <si>
    <t>poetry (#10)</t>
  </si>
  <si>
    <t>Better Than the Movies (Better Than the Movies, #1)</t>
  </si>
  <si>
    <t>Lynn Painter</t>
  </si>
  <si>
    <t>Painter, Lynn</t>
  </si>
  <si>
    <t>to-read, friends-recommendation</t>
  </si>
  <si>
    <t>to-read (#5), friends-recommendation (#3)</t>
  </si>
  <si>
    <t>Leaving the Atocha Station</t>
  </si>
  <si>
    <t>Ben Lerner</t>
  </si>
  <si>
    <t>Lerner, Ben</t>
  </si>
  <si>
    <t>Coffee House Press</t>
  </si>
  <si>
    <t>to-read (#2), friends-recommendation (#1)</t>
  </si>
  <si>
    <t>Flowers for Algernon</t>
  </si>
  <si>
    <t>Daniel Keyes</t>
  </si>
  <si>
    <t>Keyes, Daniel</t>
  </si>
  <si>
    <t>Harvest Books</t>
  </si>
  <si>
    <t>Amusement, anger, and anguish.&lt;br/&gt;&lt;br/&gt;Amusement arose from the exquisite delivery of this story‚Äîa style that is unquestionably appropriate for the plot. I was in awe and on my knees at the beginning because of that. However, amidst my amusement, the flow bored me to sleep, and I ended up dropping this book many moons ago. I don't know how many attempts I've made to flip the pages, but it failed to hook me.&lt;br/&gt;&lt;br/&gt;Anger surged towards the main character, Charlie‚Äîa justifiable character development. Yet, I felt deep contempt towards Charlie, not merely because of how he turned out, but because I can see myself in him. The experiences, thoughts, traumas, philosophies, ambitions, and even mental illnesses‚ÄîI despised reading it because I could feel myself being stripped naked. However, I still committed to go on because I love the lessons that Keyes wanted to explicitly implore. In fact, I almost annotated every page. As someone who dislikes romance, I'm in awe of the exploration of complex human emotions and individual identities. Although I haven't researched whether this book is academically accurate in terms of the jargon, I can vouch for the beauty of psychology in this novel. And, as they say, "Beauty is terror." So is intelligence.&lt;br/&gt;&lt;br/&gt;Anguish overwhelmed me due to the progress, the outcome, and the fact that I'm nearing the ending. I felt like I've been on a long journey with Charlie, from heartwarming to heartbreaking‚Äîfrom his ignorance, brilliance, arrogance, dissociation, existential crisis, and hopelessness. This has been a good book. Although the ending was predictable, maybe because I related too much to Charlie to the extent that I couldn't feel sympathy towards him (and feeling sympathy is similar to wallowing in self-pity). Nonetheless, this novel is undoubtedly deserving of its popularity, and I don't regret committing till the end.</t>
  </si>
  <si>
    <t>Siddhartha</t>
  </si>
  <si>
    <t>Hermann Hesse</t>
  </si>
  <si>
    <t>Hesse, Hermann</t>
  </si>
  <si>
    <t>Hilda Rosner</t>
  </si>
  <si>
    <t>Bantam Books</t>
  </si>
  <si>
    <t>I find the beliefs and teachings of Buddhism peculiar yet strikingly beautiful, and this book encapsulated my fascination‚Äîor so I believed, this was not about that religion; in fact, it's a book that a nonbeliever would likely read and like. The narrative dives into themes of self-discovery, personal growth, and the interconnectedness of life. Initially, I disliked the characters, particularly Siddhartha, due to their unconventional thinking and the seemingly irrational aspects of their lives‚Äîthough undeniably so human-like. However, I cannot disregard my appreciation for the main character's development! The concluding chapters nearly brought me to tears with its melancholic elegance. Simply put, it was a realization that life comprises a mix of a thousand painful memories and special moments. Before attaining peace, one may experience years of being lost, only to find a path completely different from their expectations, yet somehow still profoundly beautiful. One notable insight from this book was now engraved within me: ‚ÄúWisdom is not something that can be bestowed or taught; rather, it must be personally experienced.‚Äù</t>
  </si>
  <si>
    <t>The Strength In Our Scars</t>
  </si>
  <si>
    <t>self-help (#11), highly-recommended (#9)</t>
  </si>
  <si>
    <t>The Sun and Her Flowers</t>
  </si>
  <si>
    <t>Rupi Kaur</t>
  </si>
  <si>
    <t>Kaur, Rupi</t>
  </si>
  <si>
    <t>Andrews McMeel Publishing</t>
  </si>
  <si>
    <t>poetry (#9)</t>
  </si>
  <si>
    <t>Milk and honey</t>
  </si>
  <si>
    <t>Createspace Independent Pub</t>
  </si>
  <si>
    <t>poetry (#8)</t>
  </si>
  <si>
    <t>The Princess Saves Herself in This One (Women Are Some Kind of Magic, #1)</t>
  </si>
  <si>
    <t>Amanda Lovelace</t>
  </si>
  <si>
    <t>Lovelace, Amanda</t>
  </si>
  <si>
    <t>CreateSpace</t>
  </si>
  <si>
    <t>poetry (#7)</t>
  </si>
  <si>
    <t>Love Her Wild</t>
  </si>
  <si>
    <t>Atticus  .</t>
  </si>
  <si>
    <t>., Atticus</t>
  </si>
  <si>
    <t>Atria Books</t>
  </si>
  <si>
    <t>poetry (#6)</t>
  </si>
  <si>
    <t>The Rudest Book Ever: Insanely Practical Ideas To Free Your Mind From All Bullshit</t>
  </si>
  <si>
    <t>Shwetabh Gangwar</t>
  </si>
  <si>
    <t>Gangwar, Shwetabh</t>
  </si>
  <si>
    <t>Westland</t>
  </si>
  <si>
    <t>self-help (#10), highly-recommended (#7)</t>
  </si>
  <si>
    <t>This one is funny and sarcastic, that kind of book that snapped you back to reality. Highly likely I would recommend it to anyone who is in the pit of self-pity and drowned by societal expectations.</t>
  </si>
  <si>
    <t>How to Die Alone: The Foolproof Guide to Not Helping Yourself</t>
  </si>
  <si>
    <t>Mo Welch</t>
  </si>
  <si>
    <t>Welch, Mo</t>
  </si>
  <si>
    <t>Workman Publishing Company</t>
  </si>
  <si>
    <t>‚ÄúIn this book, I will show you how to become an antisocial hermit, how to fail at your boring job, how to sabotage your friendships, and much more! I‚Äôll even offer tombstone suggestions to help you celebrate successfully dying alone. You can thank me later, when we‚Äôre all dead.‚Äù</t>
  </si>
  <si>
    <t>The Madman</t>
  </si>
  <si>
    <t>Waking Lion Press</t>
  </si>
  <si>
    <t>poetry (#4)</t>
  </si>
  <si>
    <t>I woke up and chose Khalil Gibran's words as my breakfast. His words rolled off my tongue like the marshmallow on hot chocolate.</t>
  </si>
  <si>
    <t>Earthlings</t>
  </si>
  <si>
    <t>Sayaka Murata</t>
  </si>
  <si>
    <t>Murata, Sayaka</t>
  </si>
  <si>
    <t>Ginny Tapley Takemori</t>
  </si>
  <si>
    <t>Granta Books</t>
  </si>
  <si>
    <t>japanese-literature (#7)</t>
  </si>
  <si>
    <t>This book is surprisingly unsettling yet entertaining. Despite being one of the most disgustingly literary works I've ever read, I'm giving it a four because of the novel emotions it elicited. With its wild plot developments, I can summarize it in one word: ABSURD. I'm honestly surprised this isn't a banned book.&lt;br/&gt;&lt;br/&gt;(tw: abuse, incest, pedophilia, murder, cannibalism)</t>
  </si>
  <si>
    <t>Reasons to Stay Alive</t>
  </si>
  <si>
    <t>Matt Haig</t>
  </si>
  <si>
    <t>Haig, Matt</t>
  </si>
  <si>
    <t>Penguin Life</t>
  </si>
  <si>
    <t>self-help (#6)</t>
  </si>
  <si>
    <t>Man's Search for Meaning</t>
  </si>
  <si>
    <t>Viktor E. Frankl</t>
  </si>
  <si>
    <t>Frankl, Viktor E.</t>
  </si>
  <si>
    <t>Harold S. Kushner, William J. Winslade, Ilse Lasch</t>
  </si>
  <si>
    <t>Beacon Press</t>
  </si>
  <si>
    <t>self-help (#5)</t>
  </si>
  <si>
    <t>Little Black Book on How to Get Along with Your Parents (Little Black Book Series)</t>
  </si>
  <si>
    <t>Blaine Bartel</t>
  </si>
  <si>
    <t>Bartel, Blaine</t>
  </si>
  <si>
    <t>Harrison House</t>
  </si>
  <si>
    <t>self-help (#3)</t>
  </si>
  <si>
    <t>The Lessons of History</t>
  </si>
  <si>
    <t>Will Durant</t>
  </si>
  <si>
    <t>Durant, Will</t>
  </si>
  <si>
    <t>Ariel Durant</t>
  </si>
  <si>
    <t>Fine Communications</t>
  </si>
  <si>
    <t>self-help (#1)</t>
  </si>
  <si>
    <t>This book collects and combines important events and characters from the past, attributing them to the present time. It categorically captures the true essence (in a subjective sense) of history.&lt;br/&gt;&lt;br/&gt;I savored and digested every word of Durant's prose, only to find myself craving more. This isn't a complaint, but I believe this book is too brief and concise for its own good.&lt;br/&gt;&lt;br/&gt;Some concepts and jargon do sound foreign, and I believe my insufficient knowledge of World History is to blame. Nonetheless, context clues are provided, offering me a chance to research them independently.</t>
  </si>
  <si>
    <t>To Kill a Mockingbird</t>
  </si>
  <si>
    <t>Harper Lee</t>
  </si>
  <si>
    <t>Lee, Harper</t>
  </si>
  <si>
    <t>Grand Central Publishing</t>
  </si>
  <si>
    <t>I regret picking up this book.&lt;br/&gt;&lt;br/&gt;My brows are furrowed because I have never been so infuriated while reading. This is the first time. I struggled to finish it because its writing style isn't my cup of tea, as it focuses more on dialogue rather than prosaic narration. I dislike realistic fiction with a whole community of characters that are barely introduced, yet given names and speeches. I couldn't even visualize the story in my head due to the poor description of the settings. I almost skimmed the first half of the story and only enjoyed the trial scene. &lt;br/&gt;&lt;br/&gt;However, this book has one thing I liked‚Äîits title. I love its hidden meaning, especially when I finally figured it out along the way.</t>
  </si>
  <si>
    <t>Many Moons</t>
  </si>
  <si>
    <t>James Thurber</t>
  </si>
  <si>
    <t>Thurber, James</t>
  </si>
  <si>
    <t>Louis Slobodkin</t>
  </si>
  <si>
    <t>Harcourt Brace Jovanovich</t>
  </si>
  <si>
    <t>This is for the child in you.</t>
  </si>
  <si>
    <t>Quality</t>
  </si>
  <si>
    <t>John Galsworthy</t>
  </si>
  <si>
    <t>Galsworthy, John</t>
  </si>
  <si>
    <t>eBooksLib</t>
  </si>
  <si>
    <t>I feel like I read a 600 pages novel in 6 pages!</t>
  </si>
  <si>
    <t>The Cat Who Saved Books (The Cat Who..., #1)</t>
  </si>
  <si>
    <t>S≈çsuke Natsukawa</t>
  </si>
  <si>
    <t>Natsukawa, S≈çsuke</t>
  </si>
  <si>
    <t>Louise Heal Kawai</t>
  </si>
  <si>
    <t>HarperVia</t>
  </si>
  <si>
    <t>japanese-literature (#4)</t>
  </si>
  <si>
    <t>Here's the thing: I'm grinning oddly right now, and I can't say whether it's because I put sugar in my coffee for the first time or because I found a cute book that resonates with me.&lt;br/&gt;&lt;br/&gt;It's a heartwarming read about a hikikomori named Rintaro Natsuki. After his grandfather, who owned a secondhand bookshop, passed away, the store was left in his care. But this is not about grief. He embarks on otherworldly adventures with a talking cat to save books. How refreshing is that!&lt;br/&gt;&lt;br/&gt;This book had a profound impact on my identity as a reader. I have been into books for entertainment and knowledge since I was still less than 1 year old who listens to storybooks. I've always considered books as friends that make me feel less alone, yet I've sworn never to be too attached or form deep connections, much like my human relationships. However, this light read shattered that philosophy to the extent that I no longer want to read electronic books.&lt;br/&gt;&lt;br/&gt;Two lines from the book have resonated with me the most:&lt;br/&gt;1. ‚ÄúBut a book that has been cherished and loved, filled with human thoughts, has been endowed with a soul.‚Äù&lt;br/&gt;2. ‚ÄúHuman beings don‚Äôt live alone, and a book is a way to show them that.‚Äù&lt;br/&gt;&lt;br/&gt;Furthermore, this book contains several classic recommendations, from Nietzsche and Goethe to Steinbeck and even Constant and Proust. Perhaps, I'll choose my next read from the books that Natsukawa mentioned.&lt;br/&gt;&lt;br/&gt;This book found me so I'm giving it a five.‚ô°</t>
  </si>
  <si>
    <t>The Little Prince</t>
  </si>
  <si>
    <t>Antoine de Saint-Exup√©ry</t>
  </si>
  <si>
    <t>Saint-Exup√©ry, Antoine de</t>
  </si>
  <si>
    <t>Richard Howard</t>
  </si>
  <si>
    <t>Harcourt, Inc.</t>
  </si>
  <si>
    <t>highly-recommended</t>
  </si>
  <si>
    <t>highly-recommended (#1)</t>
  </si>
  <si>
    <t>Convenience Store Woman</t>
  </si>
  <si>
    <t>GROVE/ATLANTIC, INC.</t>
  </si>
  <si>
    <t>japanese-literature (#3)</t>
  </si>
  <si>
    <t>A story about what it means to be normal or not according to society's standards. It follows the life of Keiko, a woman with autism, although it is not explicitly identified, displaying apparent Asperger's syndrome traits like lack of emotions and expression, poor social skills, sensitive hearing, and alienation. Keiko has always felt the need to be an ordinary human until she meets Shiraha, a cynical, eccentric, and pathetic convenience worker. Despite being oddballs, they form a peculiar bond.&lt;br/&gt;&lt;br/&gt;The story unfolds in the unsettling backdrop of modern Japanese society, where cultural adherence and conformity are paramount, and establishing gender roles is crucial. It delves into populist concepts, exploring ordinary human behavior and small details of life. Despite its brevity, it offers thought-provoking insights.&lt;br/&gt;&lt;br/&gt;However, the narration techniques used in this story didn't sit right with me. Being written in the first-person point of view, Keiko's, some scenes felt dragged and monotonous. I also anticipated Keiko's development of psychopathic signs, which were hinted several times but not fully explored. Furthermore, Shiraha's existence seemed less relevant to the plot, merely serving to add content without notable contribution.&lt;br/&gt;&lt;br/&gt;Regardless of these aspects, the book is not that bad. It speaks to the oddballs out there, offering a relatable and unique perspective.</t>
  </si>
  <si>
    <t>No Longer Human</t>
  </si>
  <si>
    <t>Donald Keene</t>
  </si>
  <si>
    <t>japanese-literature (#2)</t>
  </si>
  <si>
    <t>I had dadaistic opinion towards this book. It's brilliantly written but its contents are disturbing‚Äîin such a way that isn't horror or tragic, but an abominable biography of a madman. And I like it.</t>
  </si>
  <si>
    <t>If Cats Disappeared from the World</t>
  </si>
  <si>
    <t>Genki Kawamura</t>
  </si>
  <si>
    <t>Kawamura, Genki</t>
  </si>
  <si>
    <t>Eric Selland</t>
  </si>
  <si>
    <t>Picador</t>
  </si>
  <si>
    <t>japanese-literature (#1)</t>
  </si>
  <si>
    <t>This book is about a man who has only a few days left to live. It's a melancholic and solemn read, especially because I read it early in the morning while sipping coffee and listening to the rain outside. There's a silent pang within me as I go through the pages, perhaps because life and death are concepts that humans often contemplate. While reading Japanese literature, I have always noticed its resemblance to Russian literature, but it's just a bit softer than the latter.&lt;br/&gt;&lt;br/&gt;Although the narrator's thoughts can get repetitive and dull, I love Genki Kawamura's flow of words (perhaps even better if I could read it in its original language). It's a mediocre story, without much angst, twists, or intricacies‚Äîcontradictory to the idea that humans are complex beings. It's simple, and I appreciate it just the way it is.</t>
  </si>
  <si>
    <t>Red, White &amp; Royal Blue (Red, White &amp; Royal Blue, #1)</t>
  </si>
  <si>
    <t>Casey McQuiston</t>
  </si>
  <si>
    <t>McQuiston, Casey</t>
  </si>
  <si>
    <t>St. Martin's Griffin</t>
  </si>
  <si>
    <t>This queer fiction book revolves around a romance entanglement between Alex, the first son of the first female president, and Henry, a prince from the British monarchy. The story features the famous ‚Äúenemies to lovers‚Äù trope, but it delves beyond romance, incorporating political science concepts, particularly international relations and the differences in American and British government. The book also explores themes of sexuality, friendship, and family connections.&lt;br/&gt;&lt;br/&gt;The writing style is unremarkable, resembling the quick-paced books often read to kids, except that this book is Rated 18+ due to its explicit spicy scenes and numerous profanities. Despite that, the book managed to keep me entertained as I experienced moments of laughter and tears. Consequently, I would rate it three stars. Two stars were deducted for the predictable plot, even without revealing any spoilers. The predictability caused me to feel bored midway through the story, making it appear mediocre‚Äîa mere source of entertainment and a casual distraction. Furthermore, it also reminds of the Chinese graphic novel, ‚ÄúThe First Love of the Royal Prince.‚Äù&lt;br/&gt;&lt;br/&gt;However, if someone were to ask about a gay romance recommendation, I would mention this book first and foremost. It exudes a heartwarming and slow-burn romance, while being free from toxic characters and triggering content.</t>
  </si>
  <si>
    <t>The Death of Ivan Ilyich</t>
  </si>
  <si>
    <t>Lynn Solotaroff, Ronald Blythe</t>
  </si>
  <si>
    <t>russian-literature (#1)</t>
  </si>
  <si>
    <t>A mundane story of every mediocre man that has ceased to exist and will cease to exist. The protagonist, Ivan, led a lonely life that, unfortunately, most of us fear will be similar. It's a life where we believe we've done our best, yet at some point, we question it because the thought of our own mortality terrifies us. Nonetheless, we acknowledge that death is inevitable.&lt;br/&gt;&lt;br/&gt;When Ivan said, "If there's no me, what will there be?" I know that no matter how mundane and dull the concept of this story may seem, Tolstoy would give it the justice it deserves. I mean, who am I kidding? He's the man I'd be willing to bargain my soul with the devil just to have a day when I could sit down and have a cup of tea, coffee, or any other drink with him.</t>
  </si>
  <si>
    <t>All Your Perfects (Hopeless, #3)</t>
  </si>
  <si>
    <t>Colleen Hoover</t>
  </si>
  <si>
    <t>Hoover, Colleen</t>
  </si>
  <si>
    <t>This book was recommended to me, so despite my prejudice against romance novels, I decided to give it a try. Okay, here goes‚ÄîI'll be spouting some nonsense.&lt;br/&gt;&lt;br/&gt;Firstly, it's worth noting that this is a melodramatic romance. Whether it can be considered realistic or not remains uncertain, but one thing is clear‚ÄîHoover certainly enjoys drama. I appreciated that the story focused on life after marriage rather than relying on the clich√©d ‚ÄúStrangers to Lovers‚Äù or "Happily Ever After" concept. Hoover delved into the challenges of miscarriage, relationship flaws, and forgiveness. However, what irked me the most was not the plot itself but rather the conflict that needlessly prolonged the book. Miscommunication. How trivial it is!&lt;br/&gt;&lt;br/&gt;Nonetheless, this book provided a light read, which was a complete divergence from the type of writing I'm accustomed to. I finished it in less than three hours since there was no need to analyze the prose due to its shallow narration. Speaking of narration, I loved the way the settings seamlessly switched from past to present‚Äîresembling a flashback in a movie with a decent transition.&lt;br/&gt;&lt;br/&gt;I'm giving this book a two-star rating because the female lead annoyed the hell out of me. Once again, it served as a reminder for me to steer clear of contemporary romance books.</t>
  </si>
  <si>
    <t>The Overcoat</t>
  </si>
  <si>
    <t>Nikolai Gogol</t>
  </si>
  <si>
    <t>Gogol, Nikolai</t>
  </si>
  <si>
    <t>Kessinger Pub Co</t>
  </si>
  <si>
    <t>russian-literature (#3)</t>
  </si>
  <si>
    <t>What a brilliant read!&lt;br/&gt;&lt;br/&gt;I was completely engaged and thoroughly entertained by this book. Its central theme revolves around the cloak, as the title suggests, but it delves into so much more. It tackles a range of societal concepts and issues, such as social hierarchy, symbols of status, inequality, and poverty. The narrative explores the detrimental consequences of materialism and exposes the cold indifference of society. And yes, this satirical novella remains relevant even in the present age.&lt;br/&gt;&lt;br/&gt;As I read, I found myself smiling with satisfaction for picking up this book. The plot twist took me completely by surprise since there were no noticeable hints or foreshadowing along the way. Additionally, this was my first encounter with Gogol's writing, and his indirect use of second-person narrative to include the reader felt refreshingly new.&lt;br/&gt;&lt;br/&gt;The only downside is that the story is too brief, and the ending left me hanging. I have to admit this, I hate cliffhangers.</t>
  </si>
  <si>
    <t>Tuesdays with Morrie: An Old Man, a Young Man, and Life's Greatest Lesson</t>
  </si>
  <si>
    <t>Warner</t>
  </si>
  <si>
    <t>The Song of Achilles</t>
  </si>
  <si>
    <t>Madeline Miller</t>
  </si>
  <si>
    <t>Miller, Madeline</t>
  </si>
  <si>
    <t>Ecco</t>
  </si>
  <si>
    <t>I am sad but I couldn't cry. It was a bittersweet ending in the underworld. And how dare I complain to the same-sex relationship of Achilles and Patroclus. They made me smile and melt in sweetness. I should probably buy a hardcopy of this book.</t>
  </si>
  <si>
    <t>The Yellow Wallpaper</t>
  </si>
  <si>
    <t>Public Domain Books</t>
  </si>
  <si>
    <t>The Metamorphosis</t>
  </si>
  <si>
    <t>Franz Kafka</t>
  </si>
  <si>
    <t>Kafka, Franz</t>
  </si>
  <si>
    <t>Stanley Corngold</t>
  </si>
  <si>
    <t>I read this in a surreal artistic imagination, and it left me perplexed in utter silence. The beauty disgusted me and the repugnance intrigued me.</t>
  </si>
  <si>
    <t>Suicide Notes</t>
  </si>
  <si>
    <t>Michael Thomas Ford</t>
  </si>
  <si>
    <t>Ford, Michael Thomas</t>
  </si>
  <si>
    <t>I'm crying. I'm so happy for him. I had the hunch that it was ‚Äúthat‚Äù reason. I am glad I read this. It once again widens my perspective for the LGBTQ+ community.</t>
  </si>
  <si>
    <t>The Midnight Library (The Midnight World, #1)</t>
  </si>
  <si>
    <t>This is my first contemporary read with such concept. I hated how I Nora is so relatable, and how I can picture myself leading the life she had.</t>
  </si>
  <si>
    <t>The Phantom of the Opera</t>
  </si>
  <si>
    <t>Gaston Leroux</t>
  </si>
  <si>
    <t>Leroux, Gaston</t>
  </si>
  <si>
    <t>Harper Perennial</t>
  </si>
  <si>
    <t>I've been jumping from book to book these past few days, and in the wee hours of this night, when I was desperate for a boring narration to serve as my bedtime story, I stumbled upon "The Phantom of the Opera." As I delved into the story's settings, I found myself visualizing a bleak and terrifying place, causing me to break out in a cold sweat. This was far from a dull and rusty storybook. The taste of gothic literature in the story was a thrilling and delightful experience.&lt;br/&gt;&lt;br/&gt;Moreover, this story splendidly showcased the depths of intricacy and complexity of human relationships. Leroux had this playful yet interesting way of storytelling. I could clearly feel every outburst of diverse emotions. Here's one intense line from Raoul that made me scream: "I shall snatch off his mask, as I shall snatch off my own; and this time, we shall look each other in the face, he and I, with no veil and no lies between us; and I shall know whom you love and who loves you!"&lt;br/&gt;&lt;br/&gt;After almost five hours, the ending failed to meet my expectations and successfully disappointed me. I was looking forward for something more macabre or morbid, but instead, I was left confused and perplexed. Perhaps because Leroux never intended to make "him" suffer more. In fact, I think he wanted the readers to pity "him."&lt;br/&gt;&lt;br/&gt;It's already 3:33 AM. Sleep was out of the question because every chapter left me hanging. I was engrossed in the book that I couldn't even blink. Deep down, I was certain that my absurd imagination would haunt me if I put down the story unfinished.</t>
  </si>
  <si>
    <t>Harry Potter and the Cursed Child: Parts One and Two (Harry Potter, #8)</t>
  </si>
  <si>
    <t>Jack Thorne, John Tiffany</t>
  </si>
  <si>
    <t>Little, Brown</t>
  </si>
  <si>
    <t>Harry Potter and the Deathly Hollows</t>
  </si>
  <si>
    <t>Harry Potter and the Half-Blood Prince (Harry Potter, #6)</t>
  </si>
  <si>
    <t>Scholastic Inc</t>
  </si>
  <si>
    <t>Harry Potter and the Order of the Phoenix (Harry Potter, #5)</t>
  </si>
  <si>
    <t>Scholastic Inc.</t>
  </si>
  <si>
    <t>Harry Potter and the Goblet of Fire (Harry Potter, #4)</t>
  </si>
  <si>
    <t>Scholastic</t>
  </si>
  <si>
    <t>Harry Potter and the Prisoner of Azkaban (Harry Potter, #3)</t>
  </si>
  <si>
    <t>The Necklace</t>
  </si>
  <si>
    <t>Guy de Maupassant</t>
  </si>
  <si>
    <t>Maupassant, Guy de</t>
  </si>
  <si>
    <t>Gary Kelley</t>
  </si>
  <si>
    <t>Creative Editions</t>
  </si>
  <si>
    <t>The Stranger</t>
  </si>
  <si>
    <t>Albert Camus</t>
  </si>
  <si>
    <t>Camus, Albert</t>
  </si>
  <si>
    <t>Matthew  Ward</t>
  </si>
  <si>
    <t>Vintage International</t>
  </si>
  <si>
    <t>highly-recommended (#3)</t>
  </si>
  <si>
    <t>The Dark Between Stars</t>
  </si>
  <si>
    <t>I Know Why the Caged Bird Sings (Maya Angelou's Autobiography, #1)</t>
  </si>
  <si>
    <t>Maya Angelou</t>
  </si>
  <si>
    <t>Angelou, Maya</t>
  </si>
  <si>
    <t>The Time Machine</t>
  </si>
  <si>
    <t>H.G. Wells</t>
  </si>
  <si>
    <t>Wells, H.G.</t>
  </si>
  <si>
    <t>Greg Bear, Carlo Pagetti</t>
  </si>
  <si>
    <t>A Little Princess</t>
  </si>
  <si>
    <t>Frances Hodgson Burnett</t>
  </si>
  <si>
    <t>Burnett, Frances Hodgson</t>
  </si>
  <si>
    <t>U.C. Knoepflmacher</t>
  </si>
  <si>
    <t>Angels &amp; Demons (Robert Langdon, #1)</t>
  </si>
  <si>
    <t>Dan    Brown</t>
  </si>
  <si>
    <t>Brown, Dan</t>
  </si>
  <si>
    <t>Pocket Books</t>
  </si>
  <si>
    <t>Heidi (Heidi, #1-2)</t>
  </si>
  <si>
    <t>Johanna Spyri</t>
  </si>
  <si>
    <t>Spyri, Johanna</t>
  </si>
  <si>
    <t>Angelo Rinaldi, Beverly Cleary</t>
  </si>
  <si>
    <t>Kingfisher</t>
  </si>
  <si>
    <t>Treasure Island</t>
  </si>
  <si>
    <t>Newell Convers Wyeth</t>
  </si>
  <si>
    <t>Playlist for the Dead</t>
  </si>
  <si>
    <t>Michelle Falkoff</t>
  </si>
  <si>
    <t>Falkoff, Michelle</t>
  </si>
  <si>
    <t>HarperTeen</t>
  </si>
  <si>
    <t>The Three Musketeers</t>
  </si>
  <si>
    <t>Alexandre Dumas</t>
  </si>
  <si>
    <t>Dumas, Alexandre</t>
  </si>
  <si>
    <t>Richard Pevear, Philip Bates, William Barrow, August Zoller, Marisa Zini, Moshe Ukkle, Pierre Toutain-Dorbec, John      Lee, Jacques Georges Clemenc Le Clercq, Natalie Montoto, S.M. Sheley, Daniel Rasmusson, Louis Jourdan, Walter Covell, Michael  Page, Michael Hugh Johnson, Sylvie Thorel-Cailleteau, Milo Winter, Bill Homewood, Arthur Paul John Charles James Gore Sudley, S.N. Rizvi, Giorgio Manganelli, William Robson, Isabel Ely Lord, –ê–ª–µ–∫—Å–∞–Ω–¥—Ä –î—é–º–∞</t>
  </si>
  <si>
    <t>Modern Library</t>
  </si>
  <si>
    <t>The Adventures of Huckleberry Finn (Adventures of Tom and Huck, #2)</t>
  </si>
  <si>
    <t>Mark Twain</t>
  </si>
  <si>
    <t>Twain, Mark</t>
  </si>
  <si>
    <t>Guy Cardwell, E.W. Kemble, John Seelye, Walter Trier, Tom Wilson, William Little Hughes</t>
  </si>
  <si>
    <t>Nobody's Princess (Nobody's Princess, #1)</t>
  </si>
  <si>
    <t>Esther M. Friesner</t>
  </si>
  <si>
    <t>Friesner, Esther M.</t>
  </si>
  <si>
    <t>Random House Books for Young Readers</t>
  </si>
  <si>
    <t>The Strange Case of Dr. Jekyll and Mr. Hyde and Other Tales of Terror</t>
  </si>
  <si>
    <t>Robert Mighall</t>
  </si>
  <si>
    <t>Great Expectations</t>
  </si>
  <si>
    <t>Kate Flint, Margaret Cardwell</t>
  </si>
  <si>
    <t>Oxford University Press</t>
  </si>
  <si>
    <t>The Tale of Two Cities</t>
  </si>
  <si>
    <t>James Nisbet &amp; Company Liminited</t>
  </si>
  <si>
    <t>Oliver Twist</t>
  </si>
  <si>
    <t>Philip Horne</t>
  </si>
  <si>
    <t>The Old Man and the Sea</t>
  </si>
  <si>
    <t>Ernest Hemingway</t>
  </si>
  <si>
    <t>Hemingway, Ernest</t>
  </si>
  <si>
    <t>All the Bright Places</t>
  </si>
  <si>
    <t>Jennifer Niven</t>
  </si>
  <si>
    <t>Niven, Jennifer</t>
  </si>
  <si>
    <t>Knopf</t>
  </si>
  <si>
    <t>The Alchemist</t>
  </si>
  <si>
    <t>Paulo Coelho</t>
  </si>
  <si>
    <t>Coelho, Paulo</t>
  </si>
  <si>
    <t>HarperOne</t>
  </si>
  <si>
    <t>The Perks of Being a Wallflower</t>
  </si>
  <si>
    <t>Stephen Chbosky</t>
  </si>
  <si>
    <t>Chbosky, Stephen</t>
  </si>
  <si>
    <t>MTV Books/Pocket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</si>
</sst>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D8CC-BF64-EC45-B087-5639CBAE0FDB}">
  <dimension ref="A1:W150"/>
  <sheetViews>
    <sheetView tabSelected="1" topLeftCell="A10" workbookViewId="0">
      <selection activeCell="Q20" sqref="Q20"/>
    </sheetView>
  </sheetViews>
  <sheetFormatPr baseColWidth="10" defaultRowHeight="16" x14ac:dyDescent="0.2"/>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v>11455485</v>
      </c>
      <c r="B2" t="s">
        <v>23</v>
      </c>
      <c r="C2" t="s">
        <v>24</v>
      </c>
      <c r="D2" t="s">
        <v>25</v>
      </c>
      <c r="E2" t="s">
        <v>26</v>
      </c>
      <c r="F2" t="str">
        <f>"0811217345"</f>
        <v>0811217345</v>
      </c>
      <c r="G2" t="str">
        <f>"9780811217347"</f>
        <v>9780811217347</v>
      </c>
      <c r="H2">
        <v>0</v>
      </c>
      <c r="I2" t="s">
        <v>27</v>
      </c>
      <c r="J2" t="s">
        <v>28</v>
      </c>
      <c r="K2">
        <v>274</v>
      </c>
      <c r="L2">
        <v>2012</v>
      </c>
      <c r="M2">
        <v>1985</v>
      </c>
      <c r="O2" s="1">
        <v>45939</v>
      </c>
      <c r="P2" t="s">
        <v>29</v>
      </c>
      <c r="Q2" t="s">
        <v>30</v>
      </c>
      <c r="R2" t="s">
        <v>29</v>
      </c>
      <c r="V2">
        <v>0</v>
      </c>
      <c r="W2">
        <v>0</v>
      </c>
    </row>
    <row r="3" spans="1:23" x14ac:dyDescent="0.2">
      <c r="A3">
        <v>123382504</v>
      </c>
      <c r="B3" t="s">
        <v>31</v>
      </c>
      <c r="C3" t="s">
        <v>32</v>
      </c>
      <c r="D3" t="s">
        <v>33</v>
      </c>
      <c r="F3" t="str">
        <f>""</f>
        <v/>
      </c>
      <c r="G3" t="str">
        <f>""</f>
        <v/>
      </c>
      <c r="H3">
        <v>3</v>
      </c>
      <c r="J3" t="s">
        <v>34</v>
      </c>
      <c r="K3">
        <v>126</v>
      </c>
      <c r="L3">
        <v>2022</v>
      </c>
      <c r="M3">
        <v>1899</v>
      </c>
      <c r="N3" s="1">
        <v>45880</v>
      </c>
      <c r="O3" s="1">
        <v>45878</v>
      </c>
      <c r="P3" t="s">
        <v>35</v>
      </c>
      <c r="Q3" t="s">
        <v>36</v>
      </c>
      <c r="R3" t="s">
        <v>37</v>
      </c>
      <c r="S3" t="s">
        <v>38</v>
      </c>
      <c r="V3">
        <v>1</v>
      </c>
      <c r="W3">
        <v>0</v>
      </c>
    </row>
    <row r="4" spans="1:23" x14ac:dyDescent="0.2">
      <c r="A4">
        <v>406373</v>
      </c>
      <c r="B4" t="s">
        <v>39</v>
      </c>
      <c r="C4" t="s">
        <v>40</v>
      </c>
      <c r="D4" t="s">
        <v>41</v>
      </c>
      <c r="E4" t="s">
        <v>42</v>
      </c>
      <c r="F4" t="str">
        <f>"0385031149"</f>
        <v>0385031149</v>
      </c>
      <c r="G4" t="str">
        <f>"9780385031141"</f>
        <v>9780385031141</v>
      </c>
      <c r="H4">
        <v>0</v>
      </c>
      <c r="I4" t="s">
        <v>43</v>
      </c>
      <c r="J4" t="s">
        <v>44</v>
      </c>
      <c r="K4">
        <v>503</v>
      </c>
      <c r="L4">
        <v>1962</v>
      </c>
      <c r="M4">
        <v>1808</v>
      </c>
      <c r="O4" s="1">
        <v>45878</v>
      </c>
      <c r="P4" t="s">
        <v>45</v>
      </c>
      <c r="Q4" t="s">
        <v>46</v>
      </c>
      <c r="R4" t="s">
        <v>29</v>
      </c>
      <c r="V4">
        <v>0</v>
      </c>
      <c r="W4">
        <v>0</v>
      </c>
    </row>
    <row r="5" spans="1:23" x14ac:dyDescent="0.2">
      <c r="A5">
        <v>69590997</v>
      </c>
      <c r="B5" t="s">
        <v>47</v>
      </c>
      <c r="C5" t="s">
        <v>48</v>
      </c>
      <c r="D5" t="s">
        <v>49</v>
      </c>
      <c r="F5" t="str">
        <f>""</f>
        <v/>
      </c>
      <c r="G5" t="str">
        <f>"9798478180232"</f>
        <v>9798478180232</v>
      </c>
      <c r="H5">
        <v>0</v>
      </c>
      <c r="I5" t="s">
        <v>50</v>
      </c>
      <c r="J5" t="s">
        <v>28</v>
      </c>
      <c r="K5">
        <v>183</v>
      </c>
      <c r="L5">
        <v>2021</v>
      </c>
      <c r="M5">
        <v>1601</v>
      </c>
      <c r="O5" s="1">
        <v>45878</v>
      </c>
      <c r="P5" t="s">
        <v>45</v>
      </c>
      <c r="Q5" t="s">
        <v>51</v>
      </c>
      <c r="R5" t="s">
        <v>29</v>
      </c>
      <c r="V5">
        <v>0</v>
      </c>
      <c r="W5">
        <v>0</v>
      </c>
    </row>
    <row r="6" spans="1:23" x14ac:dyDescent="0.2">
      <c r="A6">
        <v>153747</v>
      </c>
      <c r="B6" t="s">
        <v>52</v>
      </c>
      <c r="C6" t="s">
        <v>53</v>
      </c>
      <c r="D6" t="s">
        <v>54</v>
      </c>
      <c r="E6" t="s">
        <v>55</v>
      </c>
      <c r="F6" t="str">
        <f>"0142437247"</f>
        <v>0142437247</v>
      </c>
      <c r="G6" t="str">
        <f>"9780142437247"</f>
        <v>9780142437247</v>
      </c>
      <c r="H6">
        <v>0</v>
      </c>
      <c r="I6" t="s">
        <v>56</v>
      </c>
      <c r="J6" t="s">
        <v>44</v>
      </c>
      <c r="K6">
        <v>720</v>
      </c>
      <c r="L6">
        <v>2003</v>
      </c>
      <c r="M6">
        <v>1851</v>
      </c>
      <c r="O6" s="1">
        <v>45324</v>
      </c>
      <c r="P6" t="s">
        <v>57</v>
      </c>
      <c r="Q6" t="s">
        <v>58</v>
      </c>
      <c r="R6" t="s">
        <v>59</v>
      </c>
      <c r="V6">
        <v>1</v>
      </c>
      <c r="W6">
        <v>0</v>
      </c>
    </row>
    <row r="7" spans="1:23" x14ac:dyDescent="0.2">
      <c r="A7">
        <v>56697830</v>
      </c>
      <c r="B7" t="s">
        <v>60</v>
      </c>
      <c r="C7" t="s">
        <v>61</v>
      </c>
      <c r="D7" t="s">
        <v>62</v>
      </c>
      <c r="F7" t="str">
        <f>""</f>
        <v/>
      </c>
      <c r="G7" t="str">
        <f>""</f>
        <v/>
      </c>
      <c r="H7">
        <v>4</v>
      </c>
      <c r="J7" t="s">
        <v>34</v>
      </c>
      <c r="K7">
        <v>1198</v>
      </c>
      <c r="L7">
        <v>2021</v>
      </c>
      <c r="M7">
        <v>1878</v>
      </c>
      <c r="N7" s="1">
        <v>45869</v>
      </c>
      <c r="O7" s="1">
        <v>45733</v>
      </c>
      <c r="P7" t="s">
        <v>63</v>
      </c>
      <c r="Q7" t="s">
        <v>64</v>
      </c>
      <c r="R7" t="s">
        <v>37</v>
      </c>
      <c r="S7" t="s">
        <v>65</v>
      </c>
      <c r="V7">
        <v>1</v>
      </c>
      <c r="W7">
        <v>0</v>
      </c>
    </row>
    <row r="8" spans="1:23" x14ac:dyDescent="0.2">
      <c r="A8">
        <v>18505774</v>
      </c>
      <c r="B8" t="s">
        <v>66</v>
      </c>
      <c r="C8" t="s">
        <v>67</v>
      </c>
      <c r="D8" t="s">
        <v>68</v>
      </c>
      <c r="F8" t="str">
        <f>"0062219693"</f>
        <v>0062219693</v>
      </c>
      <c r="G8" t="str">
        <f>"9780062219695"</f>
        <v>9780062219695</v>
      </c>
      <c r="H8">
        <v>1</v>
      </c>
      <c r="I8" t="s">
        <v>69</v>
      </c>
      <c r="J8" t="s">
        <v>44</v>
      </c>
      <c r="K8">
        <v>384</v>
      </c>
      <c r="L8">
        <v>2014</v>
      </c>
      <c r="M8">
        <v>2011</v>
      </c>
      <c r="N8" s="1">
        <v>45869</v>
      </c>
      <c r="O8" s="1">
        <v>45786</v>
      </c>
      <c r="P8" t="s">
        <v>70</v>
      </c>
      <c r="Q8" t="s">
        <v>71</v>
      </c>
      <c r="R8" t="s">
        <v>37</v>
      </c>
      <c r="S8" t="s">
        <v>72</v>
      </c>
      <c r="V8">
        <v>1</v>
      </c>
      <c r="W8">
        <v>0</v>
      </c>
    </row>
    <row r="9" spans="1:23" x14ac:dyDescent="0.2">
      <c r="A9">
        <v>57393737</v>
      </c>
      <c r="B9" t="s">
        <v>73</v>
      </c>
      <c r="C9" t="s">
        <v>74</v>
      </c>
      <c r="D9" t="s">
        <v>75</v>
      </c>
      <c r="F9" t="str">
        <f>"1949759296"</f>
        <v>1949759296</v>
      </c>
      <c r="G9" t="str">
        <f>"9781949759297"</f>
        <v>9781949759297</v>
      </c>
      <c r="H9">
        <v>4</v>
      </c>
      <c r="I9" t="s">
        <v>76</v>
      </c>
      <c r="J9" t="s">
        <v>44</v>
      </c>
      <c r="K9">
        <v>152</v>
      </c>
      <c r="L9">
        <v>2021</v>
      </c>
      <c r="M9">
        <v>2021</v>
      </c>
      <c r="N9" s="1">
        <v>45778</v>
      </c>
      <c r="O9" s="1">
        <v>45868</v>
      </c>
      <c r="R9" t="s">
        <v>37</v>
      </c>
      <c r="V9">
        <v>1</v>
      </c>
      <c r="W9">
        <v>0</v>
      </c>
    </row>
    <row r="10" spans="1:23" x14ac:dyDescent="0.2">
      <c r="A10">
        <v>30659</v>
      </c>
      <c r="B10" t="s">
        <v>77</v>
      </c>
      <c r="C10" t="s">
        <v>78</v>
      </c>
      <c r="D10" t="s">
        <v>79</v>
      </c>
      <c r="E10" t="s">
        <v>80</v>
      </c>
      <c r="F10" t="str">
        <f>"0140449337"</f>
        <v>0140449337</v>
      </c>
      <c r="G10" t="str">
        <f>"9780140449334"</f>
        <v>9780140449334</v>
      </c>
      <c r="H10">
        <v>0</v>
      </c>
      <c r="I10" t="s">
        <v>81</v>
      </c>
      <c r="J10" t="s">
        <v>44</v>
      </c>
      <c r="K10">
        <v>254</v>
      </c>
      <c r="L10">
        <v>2006</v>
      </c>
      <c r="M10">
        <v>180</v>
      </c>
      <c r="O10" s="1">
        <v>45833</v>
      </c>
      <c r="P10" t="s">
        <v>45</v>
      </c>
      <c r="Q10" t="s">
        <v>82</v>
      </c>
      <c r="R10" t="s">
        <v>29</v>
      </c>
      <c r="V10">
        <v>0</v>
      </c>
      <c r="W10">
        <v>0</v>
      </c>
    </row>
    <row r="11" spans="1:23" x14ac:dyDescent="0.2">
      <c r="A11">
        <v>19068</v>
      </c>
      <c r="B11" t="s">
        <v>83</v>
      </c>
      <c r="C11" t="s">
        <v>84</v>
      </c>
      <c r="D11" t="s">
        <v>85</v>
      </c>
      <c r="E11" t="s">
        <v>86</v>
      </c>
      <c r="F11" t="str">
        <f>"0140449493"</f>
        <v>0140449493</v>
      </c>
      <c r="G11" t="str">
        <f>"9780140449495"</f>
        <v>9780140449495</v>
      </c>
      <c r="H11">
        <v>0</v>
      </c>
      <c r="I11" t="s">
        <v>87</v>
      </c>
      <c r="J11" t="s">
        <v>44</v>
      </c>
      <c r="K11">
        <v>329</v>
      </c>
      <c r="L11">
        <v>2004</v>
      </c>
      <c r="M11">
        <v>-350</v>
      </c>
      <c r="O11" s="1">
        <v>45833</v>
      </c>
      <c r="P11" t="s">
        <v>45</v>
      </c>
      <c r="Q11" t="s">
        <v>88</v>
      </c>
      <c r="R11" t="s">
        <v>29</v>
      </c>
      <c r="V11">
        <v>0</v>
      </c>
      <c r="W11">
        <v>0</v>
      </c>
    </row>
    <row r="12" spans="1:23" x14ac:dyDescent="0.2">
      <c r="A12">
        <v>13363089</v>
      </c>
      <c r="B12" t="s">
        <v>89</v>
      </c>
      <c r="C12" t="s">
        <v>90</v>
      </c>
      <c r="D12" t="s">
        <v>91</v>
      </c>
      <c r="F12" t="str">
        <f>"000790214X"</f>
        <v>000790214X</v>
      </c>
      <c r="G12" t="str">
        <f>"9780007902149"</f>
        <v>9780007902149</v>
      </c>
      <c r="H12">
        <v>0</v>
      </c>
      <c r="I12" t="s">
        <v>92</v>
      </c>
      <c r="J12" t="s">
        <v>44</v>
      </c>
      <c r="K12">
        <v>648</v>
      </c>
      <c r="L12">
        <v>2011</v>
      </c>
      <c r="M12">
        <v>-750</v>
      </c>
      <c r="O12" s="1">
        <v>45110</v>
      </c>
      <c r="P12" t="s">
        <v>93</v>
      </c>
      <c r="Q12" t="s">
        <v>94</v>
      </c>
      <c r="R12" t="s">
        <v>95</v>
      </c>
      <c r="V12">
        <v>1</v>
      </c>
      <c r="W12">
        <v>0</v>
      </c>
    </row>
    <row r="13" spans="1:23" x14ac:dyDescent="0.2">
      <c r="A13">
        <v>19335711</v>
      </c>
      <c r="B13" t="s">
        <v>96</v>
      </c>
      <c r="C13" t="s">
        <v>97</v>
      </c>
      <c r="D13" t="s">
        <v>98</v>
      </c>
      <c r="F13" t="str">
        <f>"0007480660"</f>
        <v>0007480660</v>
      </c>
      <c r="G13" t="str">
        <f>"9780007480661"</f>
        <v>9780007480661</v>
      </c>
      <c r="H13">
        <v>0</v>
      </c>
      <c r="I13" t="s">
        <v>92</v>
      </c>
      <c r="J13" t="s">
        <v>34</v>
      </c>
      <c r="K13">
        <v>542</v>
      </c>
      <c r="L13">
        <v>2012</v>
      </c>
      <c r="M13">
        <v>1842</v>
      </c>
      <c r="N13" s="1">
        <v>45810</v>
      </c>
      <c r="O13" s="1">
        <v>45111</v>
      </c>
      <c r="P13" t="s">
        <v>35</v>
      </c>
      <c r="Q13" t="s">
        <v>99</v>
      </c>
      <c r="R13" t="s">
        <v>37</v>
      </c>
      <c r="V13">
        <v>1</v>
      </c>
      <c r="W13">
        <v>0</v>
      </c>
    </row>
    <row r="14" spans="1:23" x14ac:dyDescent="0.2">
      <c r="A14">
        <v>56481506</v>
      </c>
      <c r="B14" t="s">
        <v>100</v>
      </c>
      <c r="C14" t="s">
        <v>101</v>
      </c>
      <c r="D14" t="s">
        <v>102</v>
      </c>
      <c r="E14" t="s">
        <v>103</v>
      </c>
      <c r="F14" t="str">
        <f>"1734324872"</f>
        <v>1734324872</v>
      </c>
      <c r="G14" t="str">
        <f>"9781734324877"</f>
        <v>9781734324877</v>
      </c>
      <c r="H14">
        <v>5</v>
      </c>
      <c r="I14" t="s">
        <v>104</v>
      </c>
      <c r="J14" t="s">
        <v>34</v>
      </c>
      <c r="K14">
        <v>304</v>
      </c>
      <c r="L14">
        <v>2021</v>
      </c>
      <c r="M14">
        <v>2021</v>
      </c>
      <c r="N14" s="1">
        <v>45776</v>
      </c>
      <c r="O14" s="1">
        <v>45757</v>
      </c>
      <c r="P14" t="s">
        <v>105</v>
      </c>
      <c r="Q14" t="s">
        <v>106</v>
      </c>
      <c r="R14" t="s">
        <v>37</v>
      </c>
      <c r="S14" t="s">
        <v>107</v>
      </c>
      <c r="V14">
        <v>1</v>
      </c>
      <c r="W14">
        <v>0</v>
      </c>
    </row>
    <row r="15" spans="1:23" x14ac:dyDescent="0.2">
      <c r="A15">
        <v>56922594</v>
      </c>
      <c r="B15" t="s">
        <v>108</v>
      </c>
      <c r="C15" t="s">
        <v>109</v>
      </c>
      <c r="D15" t="s">
        <v>110</v>
      </c>
      <c r="F15" t="str">
        <f>"006288834X"</f>
        <v>006288834X</v>
      </c>
      <c r="G15" t="str">
        <f>"9780062888341"</f>
        <v>9780062888341</v>
      </c>
      <c r="H15">
        <v>4</v>
      </c>
      <c r="I15" t="s">
        <v>111</v>
      </c>
      <c r="J15" t="s">
        <v>28</v>
      </c>
      <c r="K15">
        <v>271</v>
      </c>
      <c r="L15">
        <v>2021</v>
      </c>
      <c r="M15">
        <v>2021</v>
      </c>
      <c r="N15" s="1">
        <v>45775</v>
      </c>
      <c r="O15" s="1">
        <v>45775</v>
      </c>
      <c r="R15" t="s">
        <v>37</v>
      </c>
      <c r="S15" t="s">
        <v>112</v>
      </c>
      <c r="V15">
        <v>1</v>
      </c>
      <c r="W15">
        <v>0</v>
      </c>
    </row>
    <row r="16" spans="1:23" x14ac:dyDescent="0.2">
      <c r="A16">
        <v>29433560</v>
      </c>
      <c r="B16" t="s">
        <v>113</v>
      </c>
      <c r="C16" t="s">
        <v>114</v>
      </c>
      <c r="D16" t="s">
        <v>115</v>
      </c>
      <c r="F16" t="str">
        <f>"0349413681"</f>
        <v>0349413681</v>
      </c>
      <c r="G16" t="str">
        <f>"9780349413686"</f>
        <v>9780349413686</v>
      </c>
      <c r="H16">
        <v>0</v>
      </c>
      <c r="I16" t="s">
        <v>116</v>
      </c>
      <c r="J16" t="s">
        <v>44</v>
      </c>
      <c r="K16">
        <v>304</v>
      </c>
      <c r="L16">
        <v>2013</v>
      </c>
      <c r="M16">
        <v>2016</v>
      </c>
      <c r="O16" s="1">
        <v>45755</v>
      </c>
      <c r="P16" t="s">
        <v>117</v>
      </c>
      <c r="Q16" t="s">
        <v>118</v>
      </c>
      <c r="R16" t="s">
        <v>59</v>
      </c>
      <c r="V16">
        <v>1</v>
      </c>
      <c r="W16">
        <v>0</v>
      </c>
    </row>
    <row r="17" spans="1:23" x14ac:dyDescent="0.2">
      <c r="A17">
        <v>6185</v>
      </c>
      <c r="B17" t="s">
        <v>119</v>
      </c>
      <c r="C17" t="s">
        <v>120</v>
      </c>
      <c r="D17" t="s">
        <v>121</v>
      </c>
      <c r="E17" t="s">
        <v>122</v>
      </c>
      <c r="F17" t="str">
        <f>""</f>
        <v/>
      </c>
      <c r="G17" t="str">
        <f>""</f>
        <v/>
      </c>
      <c r="H17">
        <v>4</v>
      </c>
      <c r="I17" t="s">
        <v>123</v>
      </c>
      <c r="J17" t="s">
        <v>44</v>
      </c>
      <c r="K17">
        <v>464</v>
      </c>
      <c r="L17">
        <v>2002</v>
      </c>
      <c r="M17">
        <v>1847</v>
      </c>
      <c r="N17" s="1">
        <v>45764</v>
      </c>
      <c r="O17" s="1">
        <v>45324</v>
      </c>
      <c r="P17" t="s">
        <v>35</v>
      </c>
      <c r="Q17" t="s">
        <v>124</v>
      </c>
      <c r="R17" t="s">
        <v>37</v>
      </c>
      <c r="S17" t="s">
        <v>125</v>
      </c>
      <c r="V17">
        <v>1</v>
      </c>
      <c r="W17">
        <v>1</v>
      </c>
    </row>
    <row r="18" spans="1:23" x14ac:dyDescent="0.2">
      <c r="A18">
        <v>144694422</v>
      </c>
      <c r="B18" t="s">
        <v>126</v>
      </c>
      <c r="C18" t="s">
        <v>127</v>
      </c>
      <c r="D18" t="s">
        <v>128</v>
      </c>
      <c r="F18" t="str">
        <f>""</f>
        <v/>
      </c>
      <c r="G18" t="str">
        <f>""</f>
        <v/>
      </c>
      <c r="H18">
        <v>3</v>
      </c>
      <c r="I18" t="s">
        <v>129</v>
      </c>
      <c r="J18" t="s">
        <v>44</v>
      </c>
      <c r="K18">
        <v>0</v>
      </c>
      <c r="M18">
        <v>1850</v>
      </c>
      <c r="N18" s="1">
        <v>45761</v>
      </c>
      <c r="O18" s="1">
        <v>45250</v>
      </c>
      <c r="P18" t="s">
        <v>35</v>
      </c>
      <c r="Q18" t="s">
        <v>130</v>
      </c>
      <c r="R18" t="s">
        <v>37</v>
      </c>
      <c r="S18" t="s">
        <v>131</v>
      </c>
      <c r="T18" t="b">
        <v>1</v>
      </c>
      <c r="V18">
        <v>1</v>
      </c>
      <c r="W18">
        <v>0</v>
      </c>
    </row>
    <row r="19" spans="1:23" x14ac:dyDescent="0.2">
      <c r="A19">
        <v>15881</v>
      </c>
      <c r="B19" t="s">
        <v>132</v>
      </c>
      <c r="C19" t="s">
        <v>133</v>
      </c>
      <c r="D19" t="s">
        <v>134</v>
      </c>
      <c r="E19" t="s">
        <v>135</v>
      </c>
      <c r="F19" t="str">
        <f>""</f>
        <v/>
      </c>
      <c r="G19" t="str">
        <f>""</f>
        <v/>
      </c>
      <c r="H19">
        <v>4</v>
      </c>
      <c r="I19" t="s">
        <v>136</v>
      </c>
      <c r="J19" t="s">
        <v>28</v>
      </c>
      <c r="K19">
        <v>341</v>
      </c>
      <c r="L19">
        <v>1999</v>
      </c>
      <c r="M19">
        <v>1998</v>
      </c>
      <c r="N19" s="1">
        <v>43987</v>
      </c>
      <c r="O19" s="1">
        <v>45111</v>
      </c>
      <c r="P19" t="s">
        <v>35</v>
      </c>
      <c r="Q19" t="s">
        <v>137</v>
      </c>
      <c r="R19" t="s">
        <v>37</v>
      </c>
      <c r="V19">
        <v>1</v>
      </c>
      <c r="W19">
        <v>0</v>
      </c>
    </row>
    <row r="20" spans="1:23" x14ac:dyDescent="0.2">
      <c r="A20">
        <v>72193</v>
      </c>
      <c r="B20" t="s">
        <v>138</v>
      </c>
      <c r="C20" t="s">
        <v>133</v>
      </c>
      <c r="D20" t="s">
        <v>134</v>
      </c>
      <c r="F20" t="str">
        <f>""</f>
        <v/>
      </c>
      <c r="G20" t="str">
        <f>""</f>
        <v/>
      </c>
      <c r="H20">
        <v>4</v>
      </c>
      <c r="I20" t="s">
        <v>139</v>
      </c>
      <c r="J20" t="s">
        <v>44</v>
      </c>
      <c r="K20">
        <v>223</v>
      </c>
      <c r="L20">
        <v>1997</v>
      </c>
      <c r="M20">
        <v>1997</v>
      </c>
      <c r="N20" s="1">
        <v>43985</v>
      </c>
      <c r="O20" s="1">
        <v>45111</v>
      </c>
      <c r="P20" t="s">
        <v>35</v>
      </c>
      <c r="Q20" t="s">
        <v>140</v>
      </c>
      <c r="R20" t="s">
        <v>37</v>
      </c>
      <c r="V20">
        <v>1</v>
      </c>
      <c r="W20">
        <v>0</v>
      </c>
    </row>
    <row r="21" spans="1:23" x14ac:dyDescent="0.2">
      <c r="A21">
        <v>17245</v>
      </c>
      <c r="B21" t="s">
        <v>141</v>
      </c>
      <c r="C21" t="s">
        <v>142</v>
      </c>
      <c r="D21" t="s">
        <v>143</v>
      </c>
      <c r="E21" t="s">
        <v>144</v>
      </c>
      <c r="F21" t="str">
        <f>"0393970124"</f>
        <v>0393970124</v>
      </c>
      <c r="G21" t="str">
        <f>"9780393970128"</f>
        <v>9780393970128</v>
      </c>
      <c r="H21">
        <v>5</v>
      </c>
      <c r="I21" t="s">
        <v>123</v>
      </c>
      <c r="J21" t="s">
        <v>44</v>
      </c>
      <c r="K21">
        <v>488</v>
      </c>
      <c r="L21">
        <v>1986</v>
      </c>
      <c r="M21">
        <v>1897</v>
      </c>
      <c r="N21" s="1">
        <v>45758</v>
      </c>
      <c r="O21" s="1">
        <v>45324</v>
      </c>
      <c r="P21" t="s">
        <v>35</v>
      </c>
      <c r="Q21" t="s">
        <v>145</v>
      </c>
      <c r="R21" t="s">
        <v>37</v>
      </c>
      <c r="S21" t="s">
        <v>146</v>
      </c>
      <c r="V21">
        <v>1</v>
      </c>
      <c r="W21">
        <v>0</v>
      </c>
    </row>
    <row r="22" spans="1:23" x14ac:dyDescent="0.2">
      <c r="A22">
        <v>13082431</v>
      </c>
      <c r="B22" t="s">
        <v>147</v>
      </c>
      <c r="C22" t="s">
        <v>148</v>
      </c>
      <c r="D22" t="s">
        <v>149</v>
      </c>
      <c r="E22" t="s">
        <v>150</v>
      </c>
      <c r="F22" t="str">
        <f>"0811219623"</f>
        <v>0811219623</v>
      </c>
      <c r="G22" t="str">
        <f>"9780811219624"</f>
        <v>9780811219624</v>
      </c>
      <c r="H22">
        <v>1</v>
      </c>
      <c r="I22" t="s">
        <v>27</v>
      </c>
      <c r="J22" t="s">
        <v>44</v>
      </c>
      <c r="K22">
        <v>167</v>
      </c>
      <c r="L22">
        <v>2012</v>
      </c>
      <c r="M22">
        <v>1978</v>
      </c>
      <c r="N22" s="1">
        <v>45449</v>
      </c>
      <c r="O22" s="1">
        <v>45291</v>
      </c>
      <c r="P22" t="s">
        <v>95</v>
      </c>
      <c r="Q22" t="s">
        <v>151</v>
      </c>
      <c r="R22" t="s">
        <v>95</v>
      </c>
      <c r="S22" t="s">
        <v>152</v>
      </c>
      <c r="V22">
        <v>1</v>
      </c>
      <c r="W22">
        <v>0</v>
      </c>
    </row>
    <row r="23" spans="1:23" x14ac:dyDescent="0.2">
      <c r="A23">
        <v>54898389</v>
      </c>
      <c r="B23" t="s">
        <v>153</v>
      </c>
      <c r="C23" t="s">
        <v>154</v>
      </c>
      <c r="D23" t="s">
        <v>155</v>
      </c>
      <c r="E23" t="s">
        <v>156</v>
      </c>
      <c r="F23" t="str">
        <f>""</f>
        <v/>
      </c>
      <c r="G23" t="str">
        <f>"9781544514208"</f>
        <v>9781544514208</v>
      </c>
      <c r="H23">
        <v>5</v>
      </c>
      <c r="I23" t="s">
        <v>157</v>
      </c>
      <c r="J23" t="s">
        <v>34</v>
      </c>
      <c r="K23">
        <v>244</v>
      </c>
      <c r="L23">
        <v>2020</v>
      </c>
      <c r="M23">
        <v>2020</v>
      </c>
      <c r="N23" s="1">
        <v>45149</v>
      </c>
      <c r="O23" s="1">
        <v>45148</v>
      </c>
      <c r="P23" t="s">
        <v>158</v>
      </c>
      <c r="Q23" t="s">
        <v>159</v>
      </c>
      <c r="R23" t="s">
        <v>37</v>
      </c>
      <c r="S23" t="s">
        <v>160</v>
      </c>
      <c r="V23">
        <v>1</v>
      </c>
      <c r="W23">
        <v>0</v>
      </c>
    </row>
    <row r="24" spans="1:23" x14ac:dyDescent="0.2">
      <c r="A24">
        <v>20839196</v>
      </c>
      <c r="B24" t="s">
        <v>161</v>
      </c>
      <c r="C24" t="s">
        <v>162</v>
      </c>
      <c r="D24" t="s">
        <v>163</v>
      </c>
      <c r="F24" t="str">
        <f>"0062316095"</f>
        <v>0062316095</v>
      </c>
      <c r="G24" t="str">
        <f>"9780062316097"</f>
        <v>9780062316097</v>
      </c>
      <c r="H24">
        <v>5</v>
      </c>
      <c r="I24" t="s">
        <v>111</v>
      </c>
      <c r="J24" t="s">
        <v>28</v>
      </c>
      <c r="K24">
        <v>443</v>
      </c>
      <c r="L24">
        <v>2015</v>
      </c>
      <c r="M24">
        <v>2011</v>
      </c>
      <c r="N24" s="1">
        <v>45715</v>
      </c>
      <c r="O24" s="1">
        <v>45236</v>
      </c>
      <c r="P24" t="s">
        <v>164</v>
      </c>
      <c r="Q24" t="s">
        <v>165</v>
      </c>
      <c r="R24" t="s">
        <v>37</v>
      </c>
      <c r="S24" t="s">
        <v>166</v>
      </c>
      <c r="V24">
        <v>1</v>
      </c>
      <c r="W24">
        <v>0</v>
      </c>
    </row>
    <row r="25" spans="1:23" x14ac:dyDescent="0.2">
      <c r="A25">
        <v>55921207</v>
      </c>
      <c r="B25" t="s">
        <v>167</v>
      </c>
      <c r="C25" t="s">
        <v>168</v>
      </c>
      <c r="D25" t="s">
        <v>169</v>
      </c>
      <c r="F25" t="str">
        <f>"0008322066"</f>
        <v>0008322066</v>
      </c>
      <c r="G25" t="str">
        <f>"9780008322069"</f>
        <v>9780008322069</v>
      </c>
      <c r="H25">
        <v>5</v>
      </c>
      <c r="I25" t="s">
        <v>92</v>
      </c>
      <c r="J25" t="s">
        <v>44</v>
      </c>
      <c r="K25">
        <v>358</v>
      </c>
      <c r="L25">
        <v>2021</v>
      </c>
      <c r="M25">
        <v>1949</v>
      </c>
      <c r="N25" s="1">
        <v>45132</v>
      </c>
      <c r="O25" s="1">
        <v>45130</v>
      </c>
      <c r="P25" t="s">
        <v>170</v>
      </c>
      <c r="Q25" t="s">
        <v>171</v>
      </c>
      <c r="R25" t="s">
        <v>37</v>
      </c>
      <c r="S25" t="s">
        <v>172</v>
      </c>
      <c r="V25">
        <v>1</v>
      </c>
      <c r="W25">
        <v>0</v>
      </c>
    </row>
    <row r="26" spans="1:23" x14ac:dyDescent="0.2">
      <c r="A26">
        <v>1303</v>
      </c>
      <c r="B26" t="s">
        <v>173</v>
      </c>
      <c r="C26" t="s">
        <v>174</v>
      </c>
      <c r="D26" t="s">
        <v>175</v>
      </c>
      <c r="F26" t="str">
        <f>"0140280197"</f>
        <v>0140280197</v>
      </c>
      <c r="G26" t="str">
        <f>"9780140280197"</f>
        <v>9780140280197</v>
      </c>
      <c r="H26">
        <v>2</v>
      </c>
      <c r="I26" t="s">
        <v>81</v>
      </c>
      <c r="J26" t="s">
        <v>44</v>
      </c>
      <c r="K26">
        <v>452</v>
      </c>
      <c r="L26">
        <v>2000</v>
      </c>
      <c r="M26">
        <v>1999</v>
      </c>
      <c r="N26" s="1">
        <v>45756</v>
      </c>
      <c r="O26" s="1">
        <v>45160</v>
      </c>
      <c r="P26" t="s">
        <v>35</v>
      </c>
      <c r="Q26" t="s">
        <v>176</v>
      </c>
      <c r="R26" t="s">
        <v>37</v>
      </c>
      <c r="S26" t="s">
        <v>177</v>
      </c>
      <c r="V26">
        <v>1</v>
      </c>
      <c r="W26">
        <v>0</v>
      </c>
    </row>
    <row r="27" spans="1:23" x14ac:dyDescent="0.2">
      <c r="A27">
        <v>41881472</v>
      </c>
      <c r="B27" t="s">
        <v>178</v>
      </c>
      <c r="C27" t="s">
        <v>179</v>
      </c>
      <c r="D27" t="s">
        <v>180</v>
      </c>
      <c r="F27" t="str">
        <f>""</f>
        <v/>
      </c>
      <c r="G27" t="str">
        <f>""</f>
        <v/>
      </c>
      <c r="H27">
        <v>0</v>
      </c>
      <c r="I27" t="s">
        <v>181</v>
      </c>
      <c r="J27" t="s">
        <v>44</v>
      </c>
      <c r="K27">
        <v>242</v>
      </c>
      <c r="L27">
        <v>2020</v>
      </c>
      <c r="M27">
        <v>2020</v>
      </c>
      <c r="O27" s="1">
        <v>45755</v>
      </c>
      <c r="P27" t="s">
        <v>182</v>
      </c>
      <c r="Q27" t="s">
        <v>183</v>
      </c>
      <c r="R27" t="s">
        <v>29</v>
      </c>
      <c r="V27">
        <v>0</v>
      </c>
      <c r="W27">
        <v>0</v>
      </c>
    </row>
    <row r="28" spans="1:23" x14ac:dyDescent="0.2">
      <c r="A28">
        <v>3431</v>
      </c>
      <c r="B28" t="s">
        <v>184</v>
      </c>
      <c r="C28" t="s">
        <v>109</v>
      </c>
      <c r="D28" t="s">
        <v>110</v>
      </c>
      <c r="F28" t="str">
        <f>"0786868716"</f>
        <v>0786868716</v>
      </c>
      <c r="G28" t="str">
        <f>"9780786868711"</f>
        <v>9780786868711</v>
      </c>
      <c r="H28">
        <v>4</v>
      </c>
      <c r="I28" t="s">
        <v>185</v>
      </c>
      <c r="J28" t="s">
        <v>28</v>
      </c>
      <c r="K28">
        <v>196</v>
      </c>
      <c r="L28">
        <v>2003</v>
      </c>
      <c r="M28">
        <v>2003</v>
      </c>
      <c r="N28" s="1">
        <v>45753</v>
      </c>
      <c r="O28" s="1">
        <v>45753</v>
      </c>
      <c r="R28" t="s">
        <v>37</v>
      </c>
      <c r="V28">
        <v>1</v>
      </c>
      <c r="W28">
        <v>0</v>
      </c>
    </row>
    <row r="29" spans="1:23" x14ac:dyDescent="0.2">
      <c r="A29">
        <v>29418026</v>
      </c>
      <c r="B29" t="s">
        <v>186</v>
      </c>
      <c r="C29" t="s">
        <v>74</v>
      </c>
      <c r="D29" t="s">
        <v>75</v>
      </c>
      <c r="F29" t="str">
        <f>"0996487123"</f>
        <v>0996487123</v>
      </c>
      <c r="G29" t="str">
        <f>"9780996487122"</f>
        <v>9780996487122</v>
      </c>
      <c r="H29">
        <v>3</v>
      </c>
      <c r="I29" t="s">
        <v>76</v>
      </c>
      <c r="J29" t="s">
        <v>44</v>
      </c>
      <c r="K29">
        <v>122</v>
      </c>
      <c r="L29">
        <v>2015</v>
      </c>
      <c r="M29">
        <v>2015</v>
      </c>
      <c r="N29" s="1">
        <v>45752</v>
      </c>
      <c r="O29" s="1">
        <v>45752</v>
      </c>
      <c r="P29" t="s">
        <v>187</v>
      </c>
      <c r="Q29" t="s">
        <v>188</v>
      </c>
      <c r="R29" t="s">
        <v>37</v>
      </c>
      <c r="V29">
        <v>1</v>
      </c>
      <c r="W29">
        <v>0</v>
      </c>
    </row>
    <row r="30" spans="1:23" x14ac:dyDescent="0.2">
      <c r="A30">
        <v>55286154</v>
      </c>
      <c r="B30" t="s">
        <v>189</v>
      </c>
      <c r="C30" t="s">
        <v>190</v>
      </c>
      <c r="D30" t="s">
        <v>191</v>
      </c>
      <c r="F30" t="str">
        <f>""</f>
        <v/>
      </c>
      <c r="G30" t="str">
        <f>""</f>
        <v/>
      </c>
      <c r="H30">
        <v>2</v>
      </c>
      <c r="J30" t="s">
        <v>34</v>
      </c>
      <c r="K30">
        <v>187</v>
      </c>
      <c r="L30">
        <v>2020</v>
      </c>
      <c r="N30" s="1">
        <v>45752</v>
      </c>
      <c r="O30" s="1">
        <v>45733</v>
      </c>
      <c r="P30" t="s">
        <v>192</v>
      </c>
      <c r="Q30" t="s">
        <v>193</v>
      </c>
      <c r="R30" t="s">
        <v>37</v>
      </c>
      <c r="S30" t="s">
        <v>194</v>
      </c>
      <c r="V30">
        <v>1</v>
      </c>
      <c r="W30">
        <v>0</v>
      </c>
    </row>
    <row r="31" spans="1:23" x14ac:dyDescent="0.2">
      <c r="A31">
        <v>55921253</v>
      </c>
      <c r="B31" t="s">
        <v>195</v>
      </c>
      <c r="C31" t="s">
        <v>168</v>
      </c>
      <c r="D31" t="s">
        <v>169</v>
      </c>
      <c r="F31" t="str">
        <f>"0008443823"</f>
        <v>0008443823</v>
      </c>
      <c r="G31" t="str">
        <f>"9780008443825"</f>
        <v>9780008443825</v>
      </c>
      <c r="H31">
        <v>4</v>
      </c>
      <c r="I31" t="s">
        <v>196</v>
      </c>
      <c r="J31" t="s">
        <v>44</v>
      </c>
      <c r="K31">
        <v>240</v>
      </c>
      <c r="L31">
        <v>2021</v>
      </c>
      <c r="M31">
        <v>1937</v>
      </c>
      <c r="N31" s="1">
        <v>45736</v>
      </c>
      <c r="O31" s="1">
        <v>45154</v>
      </c>
      <c r="P31" t="s">
        <v>35</v>
      </c>
      <c r="Q31" t="s">
        <v>197</v>
      </c>
      <c r="R31" t="s">
        <v>37</v>
      </c>
      <c r="V31">
        <v>1</v>
      </c>
      <c r="W31">
        <v>0</v>
      </c>
    </row>
    <row r="32" spans="1:23" x14ac:dyDescent="0.2">
      <c r="A32">
        <v>5206937</v>
      </c>
      <c r="B32" t="s">
        <v>198</v>
      </c>
      <c r="C32" t="s">
        <v>199</v>
      </c>
      <c r="D32" t="s">
        <v>200</v>
      </c>
      <c r="F32" t="str">
        <f>"1605977276"</f>
        <v>1605977276</v>
      </c>
      <c r="G32" t="str">
        <f>"9781605977270"</f>
        <v>9781605977270</v>
      </c>
      <c r="H32">
        <v>5</v>
      </c>
      <c r="I32" t="s">
        <v>201</v>
      </c>
      <c r="J32" t="s">
        <v>44</v>
      </c>
      <c r="K32">
        <v>48</v>
      </c>
      <c r="L32">
        <v>2008</v>
      </c>
      <c r="M32">
        <v>1729</v>
      </c>
      <c r="N32" s="1">
        <v>45684</v>
      </c>
      <c r="O32" s="1">
        <v>45683</v>
      </c>
      <c r="R32" t="s">
        <v>37</v>
      </c>
      <c r="S32" t="s">
        <v>202</v>
      </c>
      <c r="V32">
        <v>1</v>
      </c>
      <c r="W32">
        <v>0</v>
      </c>
    </row>
    <row r="33" spans="1:23" x14ac:dyDescent="0.2">
      <c r="A33">
        <v>25490360</v>
      </c>
      <c r="B33" t="s">
        <v>203</v>
      </c>
      <c r="C33" t="s">
        <v>204</v>
      </c>
      <c r="D33" t="s">
        <v>205</v>
      </c>
      <c r="E33" t="s">
        <v>206</v>
      </c>
      <c r="F33" t="str">
        <f>"0804795096"</f>
        <v>0804795096</v>
      </c>
      <c r="G33" t="str">
        <f>"9780804795098"</f>
        <v>9780804795098</v>
      </c>
      <c r="H33">
        <v>5</v>
      </c>
      <c r="I33" t="s">
        <v>207</v>
      </c>
      <c r="J33" t="s">
        <v>44</v>
      </c>
      <c r="K33">
        <v>60</v>
      </c>
      <c r="L33">
        <v>2015</v>
      </c>
      <c r="M33">
        <v>2010</v>
      </c>
      <c r="N33" s="1">
        <v>45663</v>
      </c>
      <c r="O33" s="1">
        <v>45663</v>
      </c>
      <c r="R33" t="s">
        <v>37</v>
      </c>
      <c r="S33" t="s">
        <v>208</v>
      </c>
      <c r="V33">
        <v>1</v>
      </c>
      <c r="W33">
        <v>0</v>
      </c>
    </row>
    <row r="34" spans="1:23" x14ac:dyDescent="0.2">
      <c r="A34">
        <v>58145670</v>
      </c>
      <c r="B34" t="s">
        <v>209</v>
      </c>
      <c r="C34" t="s">
        <v>210</v>
      </c>
      <c r="D34" t="s">
        <v>211</v>
      </c>
      <c r="F34" t="str">
        <f>"0593191676"</f>
        <v>0593191676</v>
      </c>
      <c r="G34" t="str">
        <f>"9780593191675"</f>
        <v>9780593191675</v>
      </c>
      <c r="H34">
        <v>3</v>
      </c>
      <c r="I34" t="s">
        <v>212</v>
      </c>
      <c r="J34" t="s">
        <v>28</v>
      </c>
      <c r="K34">
        <v>278</v>
      </c>
      <c r="L34">
        <v>2021</v>
      </c>
      <c r="M34">
        <v>2021</v>
      </c>
      <c r="N34" s="1">
        <v>45657</v>
      </c>
      <c r="O34" s="1">
        <v>45460</v>
      </c>
      <c r="P34" t="s">
        <v>192</v>
      </c>
      <c r="Q34" t="s">
        <v>213</v>
      </c>
      <c r="R34" t="s">
        <v>37</v>
      </c>
      <c r="S34" t="s">
        <v>214</v>
      </c>
      <c r="V34">
        <v>1</v>
      </c>
      <c r="W34">
        <v>0</v>
      </c>
    </row>
    <row r="35" spans="1:23" x14ac:dyDescent="0.2">
      <c r="A35">
        <v>59586952</v>
      </c>
      <c r="B35" t="s">
        <v>215</v>
      </c>
      <c r="C35" t="s">
        <v>210</v>
      </c>
      <c r="D35" t="s">
        <v>211</v>
      </c>
      <c r="E35" t="s">
        <v>216</v>
      </c>
      <c r="F35" t="str">
        <f>"0735211736"</f>
        <v>0735211736</v>
      </c>
      <c r="G35" t="str">
        <f>"9780735211735"</f>
        <v>9780735211735</v>
      </c>
      <c r="H35">
        <v>0</v>
      </c>
      <c r="I35" t="s">
        <v>212</v>
      </c>
      <c r="J35" t="s">
        <v>28</v>
      </c>
      <c r="K35">
        <v>416</v>
      </c>
      <c r="L35">
        <v>2016</v>
      </c>
      <c r="M35">
        <v>2016</v>
      </c>
      <c r="O35" s="1">
        <v>45663</v>
      </c>
      <c r="P35" t="s">
        <v>59</v>
      </c>
      <c r="Q35" t="s">
        <v>217</v>
      </c>
      <c r="R35" t="s">
        <v>59</v>
      </c>
      <c r="V35">
        <v>1</v>
      </c>
      <c r="W35">
        <v>0</v>
      </c>
    </row>
    <row r="36" spans="1:23" x14ac:dyDescent="0.2">
      <c r="A36">
        <v>24874322</v>
      </c>
      <c r="B36" t="s">
        <v>218</v>
      </c>
      <c r="C36" t="s">
        <v>219</v>
      </c>
      <c r="D36" t="s">
        <v>220</v>
      </c>
      <c r="E36" t="s">
        <v>221</v>
      </c>
      <c r="F36" t="str">
        <f>"0141397721"</f>
        <v>0141397721</v>
      </c>
      <c r="G36" t="str">
        <f>"9780141397726"</f>
        <v>9780141397726</v>
      </c>
      <c r="H36">
        <v>3</v>
      </c>
      <c r="I36" t="s">
        <v>87</v>
      </c>
      <c r="J36" t="s">
        <v>44</v>
      </c>
      <c r="K36">
        <v>55</v>
      </c>
      <c r="L36">
        <v>2015</v>
      </c>
      <c r="M36">
        <v>1927</v>
      </c>
      <c r="N36" s="1">
        <v>45647</v>
      </c>
      <c r="O36" s="1">
        <v>45637</v>
      </c>
      <c r="R36" t="s">
        <v>37</v>
      </c>
      <c r="V36">
        <v>1</v>
      </c>
      <c r="W36">
        <v>0</v>
      </c>
    </row>
    <row r="37" spans="1:23" x14ac:dyDescent="0.2">
      <c r="A37">
        <v>22822858</v>
      </c>
      <c r="B37" t="s">
        <v>222</v>
      </c>
      <c r="C37" t="s">
        <v>223</v>
      </c>
      <c r="D37" t="s">
        <v>224</v>
      </c>
      <c r="F37" t="str">
        <f>"0385539258"</f>
        <v>0385539258</v>
      </c>
      <c r="G37" t="str">
        <f>"9780385539258"</f>
        <v>9780385539258</v>
      </c>
      <c r="H37">
        <v>0</v>
      </c>
      <c r="I37" t="s">
        <v>225</v>
      </c>
      <c r="J37" t="s">
        <v>28</v>
      </c>
      <c r="K37">
        <v>736</v>
      </c>
      <c r="L37">
        <v>2015</v>
      </c>
      <c r="M37">
        <v>2015</v>
      </c>
      <c r="O37" s="1">
        <v>45110</v>
      </c>
      <c r="P37" t="s">
        <v>57</v>
      </c>
      <c r="Q37" t="s">
        <v>226</v>
      </c>
      <c r="R37" t="s">
        <v>59</v>
      </c>
      <c r="V37">
        <v>1</v>
      </c>
      <c r="W37">
        <v>0</v>
      </c>
    </row>
    <row r="38" spans="1:23" x14ac:dyDescent="0.2">
      <c r="A38">
        <v>40672036</v>
      </c>
      <c r="B38" t="s">
        <v>227</v>
      </c>
      <c r="C38" t="s">
        <v>114</v>
      </c>
      <c r="D38" t="s">
        <v>115</v>
      </c>
      <c r="F38" t="str">
        <f>"052553654X"</f>
        <v>052553654X</v>
      </c>
      <c r="G38" t="str">
        <f>""</f>
        <v/>
      </c>
      <c r="H38">
        <v>4</v>
      </c>
      <c r="I38" t="s">
        <v>212</v>
      </c>
      <c r="J38" t="s">
        <v>34</v>
      </c>
      <c r="K38">
        <v>302</v>
      </c>
      <c r="L38">
        <v>2019</v>
      </c>
      <c r="M38">
        <v>2019</v>
      </c>
      <c r="N38" s="1">
        <v>45465</v>
      </c>
      <c r="O38" s="1">
        <v>45453</v>
      </c>
      <c r="P38" t="s">
        <v>228</v>
      </c>
      <c r="Q38" t="s">
        <v>229</v>
      </c>
      <c r="R38" t="s">
        <v>37</v>
      </c>
      <c r="S38" t="s">
        <v>230</v>
      </c>
      <c r="V38">
        <v>1</v>
      </c>
      <c r="W38">
        <v>0</v>
      </c>
    </row>
    <row r="39" spans="1:23" x14ac:dyDescent="0.2">
      <c r="A39">
        <v>54829115</v>
      </c>
      <c r="B39" t="s">
        <v>231</v>
      </c>
      <c r="C39" t="s">
        <v>232</v>
      </c>
      <c r="D39" t="s">
        <v>233</v>
      </c>
      <c r="F39" t="str">
        <f>""</f>
        <v/>
      </c>
      <c r="G39" t="str">
        <f>""</f>
        <v/>
      </c>
      <c r="H39">
        <v>4</v>
      </c>
      <c r="I39" t="s">
        <v>234</v>
      </c>
      <c r="J39" t="s">
        <v>235</v>
      </c>
      <c r="K39">
        <v>13</v>
      </c>
      <c r="L39">
        <v>2014</v>
      </c>
      <c r="M39">
        <v>1850</v>
      </c>
      <c r="N39" s="1">
        <v>45462</v>
      </c>
      <c r="O39" s="1">
        <v>45461</v>
      </c>
      <c r="R39" t="s">
        <v>37</v>
      </c>
      <c r="S39" t="s">
        <v>236</v>
      </c>
      <c r="V39">
        <v>1</v>
      </c>
      <c r="W39">
        <v>0</v>
      </c>
    </row>
    <row r="40" spans="1:23" x14ac:dyDescent="0.2">
      <c r="A40">
        <v>128533513</v>
      </c>
      <c r="B40" t="s">
        <v>237</v>
      </c>
      <c r="C40" t="s">
        <v>238</v>
      </c>
      <c r="D40" t="s">
        <v>239</v>
      </c>
      <c r="F40" t="str">
        <f>""</f>
        <v/>
      </c>
      <c r="G40" t="str">
        <f>""</f>
        <v/>
      </c>
      <c r="H40">
        <v>5</v>
      </c>
      <c r="I40" t="s">
        <v>240</v>
      </c>
      <c r="J40" t="s">
        <v>235</v>
      </c>
      <c r="K40">
        <v>194</v>
      </c>
      <c r="L40">
        <v>2023</v>
      </c>
      <c r="N40" s="1">
        <v>45450</v>
      </c>
      <c r="O40" s="1">
        <v>45449</v>
      </c>
      <c r="P40" t="s">
        <v>241</v>
      </c>
      <c r="Q40" t="s">
        <v>242</v>
      </c>
      <c r="R40" t="s">
        <v>37</v>
      </c>
      <c r="S40" t="s">
        <v>243</v>
      </c>
      <c r="V40">
        <v>1</v>
      </c>
      <c r="W40">
        <v>0</v>
      </c>
    </row>
    <row r="41" spans="1:23" x14ac:dyDescent="0.2">
      <c r="A41">
        <v>4030991</v>
      </c>
      <c r="B41" t="s">
        <v>244</v>
      </c>
      <c r="C41" t="s">
        <v>245</v>
      </c>
      <c r="D41" t="s">
        <v>246</v>
      </c>
      <c r="F41" t="str">
        <f>"1501135937"</f>
        <v>1501135937</v>
      </c>
      <c r="G41" t="str">
        <f>"9781501135934"</f>
        <v>9781501135934</v>
      </c>
      <c r="H41">
        <v>5</v>
      </c>
      <c r="I41" t="s">
        <v>247</v>
      </c>
      <c r="J41" t="s">
        <v>34</v>
      </c>
      <c r="K41">
        <v>402</v>
      </c>
      <c r="L41">
        <v>2016</v>
      </c>
      <c r="M41">
        <v>2016</v>
      </c>
      <c r="N41" s="1">
        <v>45451</v>
      </c>
      <c r="O41" s="1">
        <v>45451</v>
      </c>
      <c r="P41" t="s">
        <v>248</v>
      </c>
      <c r="Q41" t="s">
        <v>249</v>
      </c>
      <c r="R41" t="s">
        <v>37</v>
      </c>
      <c r="S41" t="s">
        <v>250</v>
      </c>
      <c r="V41">
        <v>1</v>
      </c>
      <c r="W41">
        <v>0</v>
      </c>
    </row>
    <row r="42" spans="1:23" x14ac:dyDescent="0.2">
      <c r="A42">
        <v>55189231</v>
      </c>
      <c r="B42" t="s">
        <v>251</v>
      </c>
      <c r="C42" t="s">
        <v>252</v>
      </c>
      <c r="D42" t="s">
        <v>253</v>
      </c>
      <c r="F42" t="str">
        <f>"0998203483"</f>
        <v>0998203483</v>
      </c>
      <c r="G42" t="str">
        <f>"9780998203485"</f>
        <v>9780998203485</v>
      </c>
      <c r="H42">
        <v>3</v>
      </c>
      <c r="I42" t="s">
        <v>252</v>
      </c>
      <c r="J42" t="s">
        <v>34</v>
      </c>
      <c r="K42">
        <v>340</v>
      </c>
      <c r="L42">
        <v>2020</v>
      </c>
      <c r="N42" s="1">
        <v>45292</v>
      </c>
      <c r="O42" s="1">
        <v>45175</v>
      </c>
      <c r="P42" t="s">
        <v>254</v>
      </c>
      <c r="Q42" t="s">
        <v>255</v>
      </c>
      <c r="R42" t="s">
        <v>37</v>
      </c>
      <c r="V42">
        <v>1</v>
      </c>
      <c r="W42">
        <v>0</v>
      </c>
    </row>
    <row r="43" spans="1:23" x14ac:dyDescent="0.2">
      <c r="A43">
        <v>50714359</v>
      </c>
      <c r="B43" t="s">
        <v>256</v>
      </c>
      <c r="C43" t="s">
        <v>257</v>
      </c>
      <c r="D43" t="s">
        <v>258</v>
      </c>
      <c r="E43" t="s">
        <v>259</v>
      </c>
      <c r="F43" t="str">
        <f>"1788163311"</f>
        <v>1788163311</v>
      </c>
      <c r="G43" t="str">
        <f>"9781788163316"</f>
        <v>9781788163316</v>
      </c>
      <c r="H43">
        <v>3</v>
      </c>
      <c r="I43" t="s">
        <v>260</v>
      </c>
      <c r="J43" t="s">
        <v>28</v>
      </c>
      <c r="K43">
        <v>256</v>
      </c>
      <c r="L43">
        <v>2020</v>
      </c>
      <c r="N43" s="1">
        <v>45288</v>
      </c>
      <c r="O43" s="1">
        <v>45175</v>
      </c>
      <c r="P43" t="s">
        <v>254</v>
      </c>
      <c r="Q43" t="s">
        <v>261</v>
      </c>
      <c r="R43" t="s">
        <v>37</v>
      </c>
      <c r="S43" t="s">
        <v>262</v>
      </c>
      <c r="V43">
        <v>1</v>
      </c>
      <c r="W43">
        <v>0</v>
      </c>
    </row>
    <row r="44" spans="1:23" x14ac:dyDescent="0.2">
      <c r="A44">
        <v>114737</v>
      </c>
      <c r="B44" t="s">
        <v>263</v>
      </c>
      <c r="C44" t="s">
        <v>264</v>
      </c>
      <c r="D44" t="s">
        <v>265</v>
      </c>
      <c r="F44" t="str">
        <f>"0714843377"</f>
        <v>0714843377</v>
      </c>
      <c r="G44" t="str">
        <f>"9780714843377"</f>
        <v>9780714843377</v>
      </c>
      <c r="H44">
        <v>3</v>
      </c>
      <c r="I44" t="s">
        <v>266</v>
      </c>
      <c r="J44" t="s">
        <v>44</v>
      </c>
      <c r="K44">
        <v>128</v>
      </c>
      <c r="L44">
        <v>2007</v>
      </c>
      <c r="M44">
        <v>2003</v>
      </c>
      <c r="N44" s="1">
        <v>45461</v>
      </c>
      <c r="O44" s="1">
        <v>45460</v>
      </c>
      <c r="P44" t="s">
        <v>192</v>
      </c>
      <c r="Q44" t="s">
        <v>267</v>
      </c>
      <c r="R44" t="s">
        <v>37</v>
      </c>
      <c r="S44" t="s">
        <v>268</v>
      </c>
      <c r="V44">
        <v>1</v>
      </c>
      <c r="W44">
        <v>0</v>
      </c>
    </row>
    <row r="45" spans="1:23" x14ac:dyDescent="0.2">
      <c r="A45">
        <v>43585885</v>
      </c>
      <c r="B45" t="s">
        <v>269</v>
      </c>
      <c r="C45" t="s">
        <v>270</v>
      </c>
      <c r="D45" t="s">
        <v>271</v>
      </c>
      <c r="F45" t="str">
        <f>"1465485406"</f>
        <v>1465485406</v>
      </c>
      <c r="G45" t="str">
        <f>"9781465485403"</f>
        <v>9781465485403</v>
      </c>
      <c r="H45">
        <v>4</v>
      </c>
      <c r="I45" t="s">
        <v>272</v>
      </c>
      <c r="J45" t="s">
        <v>44</v>
      </c>
      <c r="K45">
        <v>128</v>
      </c>
      <c r="L45">
        <v>2019</v>
      </c>
      <c r="N45" s="1">
        <v>45142</v>
      </c>
      <c r="O45" s="1">
        <v>45141</v>
      </c>
      <c r="P45" t="s">
        <v>273</v>
      </c>
      <c r="Q45" t="s">
        <v>274</v>
      </c>
      <c r="R45" t="s">
        <v>37</v>
      </c>
      <c r="S45" t="s">
        <v>275</v>
      </c>
      <c r="V45">
        <v>1</v>
      </c>
      <c r="W45">
        <v>0</v>
      </c>
    </row>
    <row r="46" spans="1:23" x14ac:dyDescent="0.2">
      <c r="A46">
        <v>198678736</v>
      </c>
      <c r="B46" t="s">
        <v>276</v>
      </c>
      <c r="C46" t="s">
        <v>277</v>
      </c>
      <c r="D46" t="s">
        <v>278</v>
      </c>
      <c r="F46" t="str">
        <f>"075356078X"</f>
        <v>075356078X</v>
      </c>
      <c r="G46" t="str">
        <f>"9780753560785"</f>
        <v>9780753560785</v>
      </c>
      <c r="H46">
        <v>5</v>
      </c>
      <c r="I46" t="s">
        <v>279</v>
      </c>
      <c r="J46" t="s">
        <v>34</v>
      </c>
      <c r="K46">
        <v>243</v>
      </c>
      <c r="L46">
        <v>2024</v>
      </c>
      <c r="M46">
        <v>2024</v>
      </c>
      <c r="O46" s="1">
        <v>45451</v>
      </c>
      <c r="P46" t="s">
        <v>273</v>
      </c>
      <c r="Q46" t="s">
        <v>280</v>
      </c>
      <c r="R46" t="s">
        <v>37</v>
      </c>
      <c r="V46">
        <v>1</v>
      </c>
      <c r="W46">
        <v>0</v>
      </c>
    </row>
    <row r="47" spans="1:23" x14ac:dyDescent="0.2">
      <c r="A47">
        <v>40097951</v>
      </c>
      <c r="B47" t="s">
        <v>281</v>
      </c>
      <c r="C47" t="s">
        <v>282</v>
      </c>
      <c r="D47" t="s">
        <v>283</v>
      </c>
      <c r="F47" t="str">
        <f>"1250301696"</f>
        <v>1250301696</v>
      </c>
      <c r="G47" t="str">
        <f>"9781250301697"</f>
        <v>9781250301697</v>
      </c>
      <c r="H47">
        <v>5</v>
      </c>
      <c r="I47" t="s">
        <v>284</v>
      </c>
      <c r="J47" t="s">
        <v>28</v>
      </c>
      <c r="K47">
        <v>336</v>
      </c>
      <c r="L47">
        <v>2019</v>
      </c>
      <c r="M47">
        <v>2019</v>
      </c>
      <c r="N47" s="1">
        <v>45449</v>
      </c>
      <c r="O47" s="1">
        <v>45220</v>
      </c>
      <c r="P47" t="s">
        <v>35</v>
      </c>
      <c r="Q47" t="s">
        <v>285</v>
      </c>
      <c r="R47" t="s">
        <v>37</v>
      </c>
      <c r="S47" t="s">
        <v>286</v>
      </c>
      <c r="V47">
        <v>1</v>
      </c>
      <c r="W47">
        <v>0</v>
      </c>
    </row>
    <row r="48" spans="1:23" x14ac:dyDescent="0.2">
      <c r="A48">
        <v>504791</v>
      </c>
      <c r="B48" t="s">
        <v>287</v>
      </c>
      <c r="C48" t="s">
        <v>288</v>
      </c>
      <c r="D48" t="s">
        <v>289</v>
      </c>
      <c r="E48" t="s">
        <v>290</v>
      </c>
      <c r="F48" t="str">
        <f>"159308028X"</f>
        <v>159308028X</v>
      </c>
      <c r="G48" t="str">
        <f>"9781593080280"</f>
        <v>9781593080280</v>
      </c>
      <c r="H48">
        <v>4</v>
      </c>
      <c r="I48" t="s">
        <v>291</v>
      </c>
      <c r="J48" t="s">
        <v>44</v>
      </c>
      <c r="K48">
        <v>146</v>
      </c>
      <c r="L48">
        <v>2003</v>
      </c>
      <c r="M48">
        <v>1759</v>
      </c>
      <c r="N48" s="1">
        <v>45449</v>
      </c>
      <c r="O48" s="1">
        <v>45438</v>
      </c>
      <c r="P48" t="s">
        <v>35</v>
      </c>
      <c r="Q48" t="s">
        <v>292</v>
      </c>
      <c r="R48" t="s">
        <v>37</v>
      </c>
      <c r="S48" t="s">
        <v>293</v>
      </c>
      <c r="V48">
        <v>1</v>
      </c>
      <c r="W48">
        <v>0</v>
      </c>
    </row>
    <row r="49" spans="1:23" x14ac:dyDescent="0.2">
      <c r="A49">
        <v>531509</v>
      </c>
      <c r="B49" t="s">
        <v>294</v>
      </c>
      <c r="C49" t="s">
        <v>295</v>
      </c>
      <c r="D49" t="s">
        <v>296</v>
      </c>
      <c r="F49" t="str">
        <f>"0394736656"</f>
        <v>0394736656</v>
      </c>
      <c r="G49" t="str">
        <f>"9780394736655"</f>
        <v>9780394736655</v>
      </c>
      <c r="H49">
        <v>1</v>
      </c>
      <c r="I49" t="s">
        <v>297</v>
      </c>
      <c r="J49" t="s">
        <v>44</v>
      </c>
      <c r="K49">
        <v>147</v>
      </c>
      <c r="L49">
        <v>1979</v>
      </c>
      <c r="M49">
        <v>1915</v>
      </c>
      <c r="N49" s="1">
        <v>45442</v>
      </c>
      <c r="O49" s="1">
        <v>45112</v>
      </c>
      <c r="P49" t="s">
        <v>298</v>
      </c>
      <c r="Q49" t="s">
        <v>299</v>
      </c>
      <c r="R49" t="s">
        <v>37</v>
      </c>
      <c r="S49" t="s">
        <v>300</v>
      </c>
      <c r="V49">
        <v>1</v>
      </c>
      <c r="W49">
        <v>0</v>
      </c>
    </row>
    <row r="50" spans="1:23" x14ac:dyDescent="0.2">
      <c r="A50">
        <v>638677</v>
      </c>
      <c r="B50" t="s">
        <v>301</v>
      </c>
      <c r="C50" t="s">
        <v>302</v>
      </c>
      <c r="D50" t="s">
        <v>303</v>
      </c>
      <c r="F50" t="str">
        <f>"0375502874"</f>
        <v>0375502874</v>
      </c>
      <c r="G50" t="str">
        <f>"9780375502873"</f>
        <v>9780375502873</v>
      </c>
      <c r="H50">
        <v>4</v>
      </c>
      <c r="I50" t="s">
        <v>304</v>
      </c>
      <c r="J50" t="s">
        <v>28</v>
      </c>
      <c r="K50">
        <v>178</v>
      </c>
      <c r="L50">
        <v>2003</v>
      </c>
      <c r="M50">
        <v>2003</v>
      </c>
      <c r="N50" s="1">
        <v>45438</v>
      </c>
      <c r="O50" s="1">
        <v>45324</v>
      </c>
      <c r="P50" t="s">
        <v>35</v>
      </c>
      <c r="Q50" t="s">
        <v>305</v>
      </c>
      <c r="R50" t="s">
        <v>37</v>
      </c>
      <c r="S50" t="s">
        <v>306</v>
      </c>
      <c r="V50">
        <v>1</v>
      </c>
      <c r="W50">
        <v>0</v>
      </c>
    </row>
    <row r="51" spans="1:23" x14ac:dyDescent="0.2">
      <c r="A51">
        <v>13557703</v>
      </c>
      <c r="B51" t="s">
        <v>307</v>
      </c>
      <c r="C51" t="s">
        <v>308</v>
      </c>
      <c r="D51" t="s">
        <v>309</v>
      </c>
      <c r="F51" t="str">
        <f>"0099579936"</f>
        <v>0099579936</v>
      </c>
      <c r="G51" t="str">
        <f>"9780099579939"</f>
        <v>9780099579939</v>
      </c>
      <c r="H51">
        <v>0</v>
      </c>
      <c r="I51" t="s">
        <v>310</v>
      </c>
      <c r="J51" t="s">
        <v>44</v>
      </c>
      <c r="K51">
        <v>514</v>
      </c>
      <c r="L51">
        <v>2012</v>
      </c>
      <c r="M51">
        <v>2011</v>
      </c>
      <c r="O51" s="1">
        <v>45294</v>
      </c>
      <c r="P51" t="s">
        <v>45</v>
      </c>
      <c r="Q51" t="s">
        <v>311</v>
      </c>
      <c r="R51" t="s">
        <v>29</v>
      </c>
      <c r="V51">
        <v>0</v>
      </c>
      <c r="W51">
        <v>0</v>
      </c>
    </row>
    <row r="52" spans="1:23" x14ac:dyDescent="0.2">
      <c r="A52">
        <v>33950893</v>
      </c>
      <c r="B52" t="s">
        <v>312</v>
      </c>
      <c r="C52" t="s">
        <v>313</v>
      </c>
      <c r="D52" t="s">
        <v>314</v>
      </c>
      <c r="F52" t="str">
        <f>"0141387777"</f>
        <v>0141387777</v>
      </c>
      <c r="G52" t="str">
        <f>"9780141387772"</f>
        <v>9780141387772</v>
      </c>
      <c r="H52">
        <v>2</v>
      </c>
      <c r="I52" t="s">
        <v>315</v>
      </c>
      <c r="J52" t="s">
        <v>44</v>
      </c>
      <c r="K52">
        <v>320</v>
      </c>
      <c r="L52">
        <v>2017</v>
      </c>
      <c r="M52">
        <v>2007</v>
      </c>
      <c r="N52" s="1">
        <v>45107</v>
      </c>
      <c r="O52" s="1">
        <v>45110</v>
      </c>
      <c r="P52" t="s">
        <v>35</v>
      </c>
      <c r="Q52" t="s">
        <v>316</v>
      </c>
      <c r="R52" t="s">
        <v>37</v>
      </c>
      <c r="V52">
        <v>1</v>
      </c>
      <c r="W52">
        <v>0</v>
      </c>
    </row>
    <row r="53" spans="1:23" x14ac:dyDescent="0.2">
      <c r="A53">
        <v>84979</v>
      </c>
      <c r="B53" t="s">
        <v>317</v>
      </c>
      <c r="C53" t="s">
        <v>318</v>
      </c>
      <c r="D53" t="s">
        <v>319</v>
      </c>
      <c r="F53" t="str">
        <f>"0553213105"</f>
        <v>0553213105</v>
      </c>
      <c r="G53" t="str">
        <f>"9780553213102"</f>
        <v>9780553213102</v>
      </c>
      <c r="H53">
        <v>4</v>
      </c>
      <c r="I53" t="s">
        <v>320</v>
      </c>
      <c r="J53" t="s">
        <v>321</v>
      </c>
      <c r="K53">
        <v>334</v>
      </c>
      <c r="L53">
        <v>2003</v>
      </c>
      <c r="M53">
        <v>1813</v>
      </c>
      <c r="O53" s="1">
        <v>45110</v>
      </c>
      <c r="P53" t="s">
        <v>35</v>
      </c>
      <c r="Q53" t="s">
        <v>322</v>
      </c>
      <c r="R53" t="s">
        <v>37</v>
      </c>
      <c r="V53">
        <v>1</v>
      </c>
      <c r="W53">
        <v>0</v>
      </c>
    </row>
    <row r="54" spans="1:23" x14ac:dyDescent="0.2">
      <c r="A54">
        <v>84943</v>
      </c>
      <c r="B54" t="s">
        <v>323</v>
      </c>
      <c r="C54" t="s">
        <v>324</v>
      </c>
      <c r="D54" t="s">
        <v>325</v>
      </c>
      <c r="E54" t="s">
        <v>326</v>
      </c>
      <c r="F54" t="str">
        <f>""</f>
        <v/>
      </c>
      <c r="G54" t="str">
        <f>""</f>
        <v/>
      </c>
      <c r="H54">
        <v>3</v>
      </c>
      <c r="I54" t="s">
        <v>327</v>
      </c>
      <c r="J54" t="s">
        <v>321</v>
      </c>
      <c r="K54">
        <v>202</v>
      </c>
      <c r="L54">
        <v>2003</v>
      </c>
      <c r="M54">
        <v>1954</v>
      </c>
      <c r="N54" s="1">
        <v>45141</v>
      </c>
      <c r="O54" s="1">
        <v>45140</v>
      </c>
      <c r="P54" t="s">
        <v>35</v>
      </c>
      <c r="Q54" t="s">
        <v>328</v>
      </c>
      <c r="R54" t="s">
        <v>37</v>
      </c>
      <c r="S54" t="s">
        <v>329</v>
      </c>
      <c r="V54">
        <v>1</v>
      </c>
      <c r="W54">
        <v>0</v>
      </c>
    </row>
    <row r="55" spans="1:23" x14ac:dyDescent="0.2">
      <c r="A55">
        <v>59792552</v>
      </c>
      <c r="B55" t="s">
        <v>330</v>
      </c>
      <c r="C55" t="s">
        <v>331</v>
      </c>
      <c r="D55" t="s">
        <v>332</v>
      </c>
      <c r="F55" t="str">
        <f>"1398515698"</f>
        <v>1398515698</v>
      </c>
      <c r="G55" t="str">
        <f>"9781398515697"</f>
        <v>9781398515697</v>
      </c>
      <c r="H55">
        <v>3</v>
      </c>
      <c r="I55" t="s">
        <v>333</v>
      </c>
      <c r="J55" t="s">
        <v>44</v>
      </c>
      <c r="K55">
        <v>389</v>
      </c>
      <c r="L55">
        <v>2021</v>
      </c>
      <c r="M55">
        <v>2017</v>
      </c>
      <c r="N55" s="1">
        <v>45155</v>
      </c>
      <c r="O55" s="1">
        <v>45146</v>
      </c>
      <c r="P55" t="s">
        <v>35</v>
      </c>
      <c r="Q55" t="s">
        <v>334</v>
      </c>
      <c r="R55" t="s">
        <v>37</v>
      </c>
      <c r="S55" t="s">
        <v>335</v>
      </c>
      <c r="V55">
        <v>1</v>
      </c>
      <c r="W55">
        <v>0</v>
      </c>
    </row>
    <row r="56" spans="1:23" x14ac:dyDescent="0.2">
      <c r="A56">
        <v>62847447</v>
      </c>
      <c r="B56" t="s">
        <v>336</v>
      </c>
      <c r="C56" t="s">
        <v>337</v>
      </c>
      <c r="D56" t="s">
        <v>338</v>
      </c>
      <c r="E56" t="s">
        <v>339</v>
      </c>
      <c r="F56" t="str">
        <f>"0751512818"</f>
        <v>0751512818</v>
      </c>
      <c r="G56" t="str">
        <f>"9780751512816"</f>
        <v>9780751512816</v>
      </c>
      <c r="H56">
        <v>4</v>
      </c>
      <c r="I56" t="s">
        <v>340</v>
      </c>
      <c r="J56" t="s">
        <v>44</v>
      </c>
      <c r="K56">
        <v>368</v>
      </c>
      <c r="L56">
        <v>1995</v>
      </c>
      <c r="N56" s="1">
        <v>45159</v>
      </c>
      <c r="O56" s="1">
        <v>45159</v>
      </c>
      <c r="P56" t="s">
        <v>35</v>
      </c>
      <c r="Q56" t="s">
        <v>341</v>
      </c>
      <c r="R56" t="s">
        <v>37</v>
      </c>
      <c r="S56" t="s">
        <v>342</v>
      </c>
      <c r="V56">
        <v>1</v>
      </c>
      <c r="W56">
        <v>0</v>
      </c>
    </row>
    <row r="57" spans="1:23" x14ac:dyDescent="0.2">
      <c r="A57">
        <v>41880609</v>
      </c>
      <c r="B57" t="s">
        <v>343</v>
      </c>
      <c r="C57" t="s">
        <v>344</v>
      </c>
      <c r="D57" t="s">
        <v>345</v>
      </c>
      <c r="F57" t="str">
        <f>"0525562028"</f>
        <v>0525562028</v>
      </c>
      <c r="G57" t="str">
        <f>"9780525562023"</f>
        <v>9780525562023</v>
      </c>
      <c r="H57">
        <v>5</v>
      </c>
      <c r="I57" t="s">
        <v>346</v>
      </c>
      <c r="J57" t="s">
        <v>28</v>
      </c>
      <c r="K57">
        <v>246</v>
      </c>
      <c r="L57">
        <v>2019</v>
      </c>
      <c r="M57">
        <v>2019</v>
      </c>
      <c r="N57" s="1">
        <v>45288</v>
      </c>
      <c r="O57" s="1">
        <v>45250</v>
      </c>
      <c r="P57" t="s">
        <v>35</v>
      </c>
      <c r="Q57" t="s">
        <v>347</v>
      </c>
      <c r="R57" t="s">
        <v>37</v>
      </c>
      <c r="S57" t="s">
        <v>348</v>
      </c>
      <c r="V57">
        <v>1</v>
      </c>
      <c r="W57">
        <v>1</v>
      </c>
    </row>
    <row r="58" spans="1:23" x14ac:dyDescent="0.2">
      <c r="A58">
        <v>56196728</v>
      </c>
      <c r="B58" t="s">
        <v>349</v>
      </c>
      <c r="C58" t="s">
        <v>168</v>
      </c>
      <c r="D58" t="s">
        <v>169</v>
      </c>
      <c r="F58" t="str">
        <f>"0008322058"</f>
        <v>0008322058</v>
      </c>
      <c r="G58" t="str">
        <f>"9780008322052"</f>
        <v>9780008322052</v>
      </c>
      <c r="H58">
        <v>5</v>
      </c>
      <c r="I58" t="s">
        <v>92</v>
      </c>
      <c r="J58" t="s">
        <v>44</v>
      </c>
      <c r="K58">
        <v>144</v>
      </c>
      <c r="L58">
        <v>2021</v>
      </c>
      <c r="M58">
        <v>1945</v>
      </c>
      <c r="N58" s="1">
        <v>45140</v>
      </c>
      <c r="O58" s="1">
        <v>45140</v>
      </c>
      <c r="P58" t="s">
        <v>35</v>
      </c>
      <c r="Q58" t="s">
        <v>350</v>
      </c>
      <c r="R58" t="s">
        <v>37</v>
      </c>
      <c r="S58" t="s">
        <v>351</v>
      </c>
      <c r="V58">
        <v>1</v>
      </c>
      <c r="W58">
        <v>0</v>
      </c>
    </row>
    <row r="59" spans="1:23" x14ac:dyDescent="0.2">
      <c r="A59">
        <v>12193976</v>
      </c>
      <c r="B59" t="s">
        <v>352</v>
      </c>
      <c r="C59" t="s">
        <v>353</v>
      </c>
      <c r="D59" t="s">
        <v>354</v>
      </c>
      <c r="F59" t="str">
        <f>"0007420129"</f>
        <v>0007420129</v>
      </c>
      <c r="G59" t="str">
        <f>"9780007420124"</f>
        <v>9780007420124</v>
      </c>
      <c r="H59">
        <v>4</v>
      </c>
      <c r="I59" t="s">
        <v>355</v>
      </c>
      <c r="J59" t="s">
        <v>44</v>
      </c>
      <c r="K59">
        <v>96</v>
      </c>
      <c r="L59">
        <v>2011</v>
      </c>
      <c r="M59">
        <v>-500</v>
      </c>
      <c r="N59" s="1">
        <v>45168</v>
      </c>
      <c r="O59" s="1">
        <v>45154</v>
      </c>
      <c r="P59" t="s">
        <v>35</v>
      </c>
      <c r="Q59" t="s">
        <v>356</v>
      </c>
      <c r="R59" t="s">
        <v>37</v>
      </c>
      <c r="S59" t="s">
        <v>357</v>
      </c>
      <c r="V59">
        <v>1</v>
      </c>
      <c r="W59">
        <v>0</v>
      </c>
    </row>
    <row r="60" spans="1:23" x14ac:dyDescent="0.2">
      <c r="A60">
        <v>5107</v>
      </c>
      <c r="B60" t="s">
        <v>358</v>
      </c>
      <c r="C60" t="s">
        <v>359</v>
      </c>
      <c r="D60" t="s">
        <v>360</v>
      </c>
      <c r="F60" t="str">
        <f>"0316769177"</f>
        <v>0316769177</v>
      </c>
      <c r="G60" t="str">
        <f>"9780316769174"</f>
        <v>9780316769174</v>
      </c>
      <c r="H60">
        <v>5</v>
      </c>
      <c r="I60" t="s">
        <v>361</v>
      </c>
      <c r="J60" t="s">
        <v>44</v>
      </c>
      <c r="K60">
        <v>277</v>
      </c>
      <c r="L60">
        <v>2001</v>
      </c>
      <c r="M60">
        <v>1951</v>
      </c>
      <c r="O60" s="1">
        <v>45110</v>
      </c>
      <c r="P60" t="s">
        <v>362</v>
      </c>
      <c r="Q60" t="s">
        <v>363</v>
      </c>
      <c r="R60" t="s">
        <v>37</v>
      </c>
      <c r="V60">
        <v>1</v>
      </c>
      <c r="W60">
        <v>0</v>
      </c>
    </row>
    <row r="61" spans="1:23" x14ac:dyDescent="0.2">
      <c r="A61">
        <v>49682914</v>
      </c>
      <c r="B61" t="s">
        <v>364</v>
      </c>
      <c r="C61" t="s">
        <v>365</v>
      </c>
      <c r="D61" t="s">
        <v>366</v>
      </c>
      <c r="F61" t="str">
        <f>""</f>
        <v/>
      </c>
      <c r="G61" t="str">
        <f>""</f>
        <v/>
      </c>
      <c r="H61">
        <v>2</v>
      </c>
      <c r="I61" t="s">
        <v>196</v>
      </c>
      <c r="J61" t="s">
        <v>28</v>
      </c>
      <c r="K61">
        <v>206</v>
      </c>
      <c r="L61">
        <v>2016</v>
      </c>
      <c r="M61">
        <v>2016</v>
      </c>
      <c r="N61" s="1">
        <v>45121</v>
      </c>
      <c r="O61" s="1">
        <v>45121</v>
      </c>
      <c r="P61" t="s">
        <v>367</v>
      </c>
      <c r="Q61" t="s">
        <v>368</v>
      </c>
      <c r="R61" t="s">
        <v>37</v>
      </c>
      <c r="S61" t="s">
        <v>369</v>
      </c>
      <c r="V61">
        <v>1</v>
      </c>
      <c r="W61">
        <v>0</v>
      </c>
    </row>
    <row r="62" spans="1:23" x14ac:dyDescent="0.2">
      <c r="A62">
        <v>53422370</v>
      </c>
      <c r="B62" t="s">
        <v>370</v>
      </c>
      <c r="C62" t="s">
        <v>371</v>
      </c>
      <c r="D62" t="s">
        <v>372</v>
      </c>
      <c r="F62" t="str">
        <f>"0008425051"</f>
        <v>0008425051</v>
      </c>
      <c r="G62" t="str">
        <f>"9780008425050"</f>
        <v>9780008425050</v>
      </c>
      <c r="H62">
        <v>3</v>
      </c>
      <c r="I62" t="s">
        <v>196</v>
      </c>
      <c r="J62" t="s">
        <v>44</v>
      </c>
      <c r="K62">
        <v>256</v>
      </c>
      <c r="L62">
        <v>2021</v>
      </c>
      <c r="M62">
        <v>64</v>
      </c>
      <c r="N62" s="1">
        <v>45162</v>
      </c>
      <c r="O62" s="1">
        <v>45154</v>
      </c>
      <c r="P62" t="s">
        <v>367</v>
      </c>
      <c r="Q62" t="s">
        <v>373</v>
      </c>
      <c r="R62" t="s">
        <v>37</v>
      </c>
      <c r="S62" t="s">
        <v>374</v>
      </c>
      <c r="V62">
        <v>1</v>
      </c>
      <c r="W62">
        <v>0</v>
      </c>
    </row>
    <row r="63" spans="1:23" x14ac:dyDescent="0.2">
      <c r="A63">
        <v>40604322</v>
      </c>
      <c r="B63" t="s">
        <v>375</v>
      </c>
      <c r="C63" t="s">
        <v>365</v>
      </c>
      <c r="D63" t="s">
        <v>366</v>
      </c>
      <c r="E63" t="s">
        <v>376</v>
      </c>
      <c r="F63" t="str">
        <f>"0062888447"</f>
        <v>0062888447</v>
      </c>
      <c r="G63" t="str">
        <f>"9780062888440"</f>
        <v>9780062888440</v>
      </c>
      <c r="H63">
        <v>2</v>
      </c>
      <c r="I63" t="s">
        <v>111</v>
      </c>
      <c r="J63" t="s">
        <v>377</v>
      </c>
      <c r="K63">
        <v>288</v>
      </c>
      <c r="L63">
        <v>2019</v>
      </c>
      <c r="M63">
        <v>2019</v>
      </c>
      <c r="N63" s="1">
        <v>45156</v>
      </c>
      <c r="O63" s="1">
        <v>45154</v>
      </c>
      <c r="P63" t="s">
        <v>367</v>
      </c>
      <c r="Q63" t="s">
        <v>378</v>
      </c>
      <c r="R63" t="s">
        <v>37</v>
      </c>
      <c r="S63" t="s">
        <v>379</v>
      </c>
      <c r="V63">
        <v>1</v>
      </c>
      <c r="W63">
        <v>0</v>
      </c>
    </row>
    <row r="64" spans="1:23" x14ac:dyDescent="0.2">
      <c r="A64">
        <v>40121378</v>
      </c>
      <c r="B64" t="s">
        <v>380</v>
      </c>
      <c r="C64" t="s">
        <v>381</v>
      </c>
      <c r="D64" t="s">
        <v>382</v>
      </c>
      <c r="F64" t="str">
        <f>""</f>
        <v/>
      </c>
      <c r="G64" t="str">
        <f>""</f>
        <v/>
      </c>
      <c r="H64">
        <v>5</v>
      </c>
      <c r="I64" t="s">
        <v>383</v>
      </c>
      <c r="J64" t="s">
        <v>34</v>
      </c>
      <c r="K64">
        <v>319</v>
      </c>
      <c r="L64">
        <v>2018</v>
      </c>
      <c r="M64">
        <v>2018</v>
      </c>
      <c r="N64" s="1">
        <v>45345</v>
      </c>
      <c r="O64" s="1">
        <v>45236</v>
      </c>
      <c r="P64" t="s">
        <v>367</v>
      </c>
      <c r="Q64" t="s">
        <v>384</v>
      </c>
      <c r="R64" t="s">
        <v>37</v>
      </c>
      <c r="S64" t="s">
        <v>385</v>
      </c>
      <c r="V64">
        <v>1</v>
      </c>
      <c r="W64">
        <v>0</v>
      </c>
    </row>
    <row r="65" spans="1:23" x14ac:dyDescent="0.2">
      <c r="A65">
        <v>394424</v>
      </c>
      <c r="B65" t="s">
        <v>386</v>
      </c>
      <c r="C65" t="s">
        <v>387</v>
      </c>
      <c r="D65" t="s">
        <v>388</v>
      </c>
      <c r="F65" t="str">
        <f>"0394404289"</f>
        <v>0394404289</v>
      </c>
      <c r="G65" t="str">
        <f>"9780394404288"</f>
        <v>9780394404288</v>
      </c>
      <c r="H65">
        <v>4</v>
      </c>
      <c r="I65" t="s">
        <v>389</v>
      </c>
      <c r="J65" t="s">
        <v>28</v>
      </c>
      <c r="K65">
        <v>130</v>
      </c>
      <c r="L65">
        <v>1976</v>
      </c>
      <c r="M65">
        <v>1923</v>
      </c>
      <c r="N65" s="1">
        <v>45145</v>
      </c>
      <c r="O65" s="1">
        <v>45144</v>
      </c>
      <c r="P65" t="s">
        <v>390</v>
      </c>
      <c r="Q65" t="s">
        <v>391</v>
      </c>
      <c r="R65" t="s">
        <v>37</v>
      </c>
      <c r="S65" t="s">
        <v>392</v>
      </c>
      <c r="V65">
        <v>1</v>
      </c>
      <c r="W65">
        <v>0</v>
      </c>
    </row>
    <row r="66" spans="1:23" x14ac:dyDescent="0.2">
      <c r="A66">
        <v>189048</v>
      </c>
      <c r="B66" t="s">
        <v>393</v>
      </c>
      <c r="C66" t="s">
        <v>394</v>
      </c>
      <c r="D66" t="s">
        <v>395</v>
      </c>
      <c r="E66" t="s">
        <v>396</v>
      </c>
      <c r="F66" t="str">
        <f>"0679729585"</f>
        <v>0679729585</v>
      </c>
      <c r="G66" t="str">
        <f>"9780679729587"</f>
        <v>9780679729587</v>
      </c>
      <c r="H66">
        <v>5</v>
      </c>
      <c r="I66" t="s">
        <v>43</v>
      </c>
      <c r="J66" t="s">
        <v>44</v>
      </c>
      <c r="K66">
        <v>212</v>
      </c>
      <c r="L66">
        <v>1990</v>
      </c>
      <c r="M66">
        <v>1988</v>
      </c>
      <c r="N66" s="1">
        <v>43831</v>
      </c>
      <c r="O66" s="1">
        <v>45156</v>
      </c>
      <c r="P66" t="s">
        <v>397</v>
      </c>
      <c r="Q66" t="s">
        <v>398</v>
      </c>
      <c r="R66" t="s">
        <v>37</v>
      </c>
      <c r="S66" t="s">
        <v>399</v>
      </c>
      <c r="V66">
        <v>1</v>
      </c>
      <c r="W66">
        <v>0</v>
      </c>
    </row>
    <row r="67" spans="1:23" x14ac:dyDescent="0.2">
      <c r="A67">
        <v>1514863</v>
      </c>
      <c r="B67" t="s">
        <v>400</v>
      </c>
      <c r="C67" t="s">
        <v>401</v>
      </c>
      <c r="D67" t="s">
        <v>402</v>
      </c>
      <c r="F67" t="str">
        <f>"1852351314"</f>
        <v>1852351314</v>
      </c>
      <c r="G67" t="str">
        <f>"9781852351311"</f>
        <v>9781852351311</v>
      </c>
      <c r="H67">
        <v>3</v>
      </c>
      <c r="I67" t="s">
        <v>403</v>
      </c>
      <c r="J67" t="s">
        <v>44</v>
      </c>
      <c r="L67">
        <v>1994</v>
      </c>
      <c r="M67">
        <v>1994</v>
      </c>
      <c r="N67" s="1">
        <v>43831</v>
      </c>
      <c r="O67" s="1">
        <v>45156</v>
      </c>
      <c r="P67" t="s">
        <v>390</v>
      </c>
      <c r="Q67" t="s">
        <v>404</v>
      </c>
      <c r="R67" t="s">
        <v>37</v>
      </c>
      <c r="V67">
        <v>1</v>
      </c>
      <c r="W67">
        <v>0</v>
      </c>
    </row>
    <row r="68" spans="1:23" x14ac:dyDescent="0.2">
      <c r="A68">
        <v>20413</v>
      </c>
      <c r="B68" t="s">
        <v>405</v>
      </c>
      <c r="C68" t="s">
        <v>406</v>
      </c>
      <c r="D68" t="s">
        <v>407</v>
      </c>
      <c r="E68" t="s">
        <v>408</v>
      </c>
      <c r="F68" t="str">
        <f>"0689823827"</f>
        <v>0689823827</v>
      </c>
      <c r="G68" t="str">
        <f>"9780689823824"</f>
        <v>9780689823824</v>
      </c>
      <c r="H68">
        <v>3</v>
      </c>
      <c r="I68" t="s">
        <v>409</v>
      </c>
      <c r="J68" t="s">
        <v>28</v>
      </c>
      <c r="K68">
        <v>67</v>
      </c>
      <c r="L68">
        <v>1999</v>
      </c>
      <c r="M68">
        <v>1885</v>
      </c>
      <c r="N68" s="1">
        <v>45176</v>
      </c>
      <c r="O68" s="1">
        <v>45175</v>
      </c>
      <c r="P68" t="s">
        <v>390</v>
      </c>
      <c r="Q68" t="s">
        <v>410</v>
      </c>
      <c r="R68" t="s">
        <v>37</v>
      </c>
      <c r="S68" t="s">
        <v>411</v>
      </c>
      <c r="V68">
        <v>1</v>
      </c>
      <c r="W68">
        <v>0</v>
      </c>
    </row>
    <row r="69" spans="1:23" x14ac:dyDescent="0.2">
      <c r="A69">
        <v>23281769</v>
      </c>
      <c r="B69" t="s">
        <v>412</v>
      </c>
      <c r="C69" t="s">
        <v>413</v>
      </c>
      <c r="D69" t="s">
        <v>414</v>
      </c>
      <c r="F69" t="str">
        <f>"0143127411"</f>
        <v>0143127411</v>
      </c>
      <c r="G69" t="str">
        <f>"9780143127413"</f>
        <v>9780143127413</v>
      </c>
      <c r="H69">
        <v>4</v>
      </c>
      <c r="I69" t="s">
        <v>415</v>
      </c>
      <c r="J69" t="s">
        <v>44</v>
      </c>
      <c r="K69">
        <v>240</v>
      </c>
      <c r="L69">
        <v>2015</v>
      </c>
      <c r="M69">
        <v>2014</v>
      </c>
      <c r="N69" s="1">
        <v>45365</v>
      </c>
      <c r="O69" s="1">
        <v>45324</v>
      </c>
      <c r="P69" t="s">
        <v>416</v>
      </c>
      <c r="Q69" t="s">
        <v>417</v>
      </c>
      <c r="R69" t="s">
        <v>37</v>
      </c>
      <c r="S69" t="s">
        <v>418</v>
      </c>
      <c r="V69">
        <v>1</v>
      </c>
      <c r="W69">
        <v>0</v>
      </c>
    </row>
    <row r="70" spans="1:23" x14ac:dyDescent="0.2">
      <c r="A70">
        <v>10210</v>
      </c>
      <c r="B70" t="s">
        <v>419</v>
      </c>
      <c r="C70" t="s">
        <v>420</v>
      </c>
      <c r="D70" t="s">
        <v>421</v>
      </c>
      <c r="E70" t="s">
        <v>422</v>
      </c>
      <c r="F70" t="str">
        <f>"0142437204"</f>
        <v>0142437204</v>
      </c>
      <c r="G70" t="str">
        <f>"9780142437209"</f>
        <v>9780142437209</v>
      </c>
      <c r="H70">
        <v>0</v>
      </c>
      <c r="I70" t="s">
        <v>423</v>
      </c>
      <c r="J70" t="s">
        <v>44</v>
      </c>
      <c r="K70">
        <v>532</v>
      </c>
      <c r="L70">
        <v>2003</v>
      </c>
      <c r="M70">
        <v>1847</v>
      </c>
      <c r="O70" s="1">
        <v>45324</v>
      </c>
      <c r="P70" t="s">
        <v>45</v>
      </c>
      <c r="Q70" t="s">
        <v>424</v>
      </c>
      <c r="R70" t="s">
        <v>29</v>
      </c>
      <c r="V70">
        <v>0</v>
      </c>
      <c r="W70">
        <v>0</v>
      </c>
    </row>
    <row r="71" spans="1:23" x14ac:dyDescent="0.2">
      <c r="A71">
        <v>48855</v>
      </c>
      <c r="B71" t="s">
        <v>425</v>
      </c>
      <c r="C71" t="s">
        <v>426</v>
      </c>
      <c r="D71" t="s">
        <v>427</v>
      </c>
      <c r="E71" t="s">
        <v>428</v>
      </c>
      <c r="F71" t="str">
        <f>""</f>
        <v/>
      </c>
      <c r="G71" t="str">
        <f>""</f>
        <v/>
      </c>
      <c r="H71">
        <v>0</v>
      </c>
      <c r="I71" t="s">
        <v>429</v>
      </c>
      <c r="J71" t="s">
        <v>321</v>
      </c>
      <c r="K71">
        <v>283</v>
      </c>
      <c r="L71">
        <v>1993</v>
      </c>
      <c r="M71">
        <v>1947</v>
      </c>
      <c r="O71" s="1">
        <v>45325</v>
      </c>
      <c r="P71" t="s">
        <v>430</v>
      </c>
      <c r="Q71" t="s">
        <v>431</v>
      </c>
      <c r="R71" t="s">
        <v>29</v>
      </c>
      <c r="V71">
        <v>0</v>
      </c>
      <c r="W71">
        <v>0</v>
      </c>
    </row>
    <row r="72" spans="1:23" x14ac:dyDescent="0.2">
      <c r="A72">
        <v>18693360</v>
      </c>
      <c r="B72" t="s">
        <v>432</v>
      </c>
      <c r="C72" t="s">
        <v>433</v>
      </c>
      <c r="D72" t="s">
        <v>434</v>
      </c>
      <c r="F72" t="str">
        <f>"0545608767"</f>
        <v>0545608767</v>
      </c>
      <c r="G72" t="str">
        <f>"9780545608763"</f>
        <v>9780545608763</v>
      </c>
      <c r="H72">
        <v>0</v>
      </c>
      <c r="I72" t="s">
        <v>435</v>
      </c>
      <c r="J72" t="s">
        <v>28</v>
      </c>
      <c r="K72">
        <v>304</v>
      </c>
      <c r="L72">
        <v>2014</v>
      </c>
      <c r="M72">
        <v>2014</v>
      </c>
      <c r="O72" s="1">
        <v>45325</v>
      </c>
      <c r="P72" t="s">
        <v>45</v>
      </c>
      <c r="Q72" t="s">
        <v>436</v>
      </c>
      <c r="R72" t="s">
        <v>29</v>
      </c>
      <c r="V72">
        <v>0</v>
      </c>
      <c r="W72">
        <v>0</v>
      </c>
    </row>
    <row r="73" spans="1:23" x14ac:dyDescent="0.2">
      <c r="A73">
        <v>22749543</v>
      </c>
      <c r="B73" t="s">
        <v>437</v>
      </c>
      <c r="C73" t="s">
        <v>438</v>
      </c>
      <c r="D73" t="s">
        <v>439</v>
      </c>
      <c r="F73" t="str">
        <f>"0545766354"</f>
        <v>0545766354</v>
      </c>
      <c r="G73" t="str">
        <f>"9780545766357"</f>
        <v>9780545766357</v>
      </c>
      <c r="H73">
        <v>0</v>
      </c>
      <c r="I73" t="s">
        <v>440</v>
      </c>
      <c r="J73" t="s">
        <v>44</v>
      </c>
      <c r="K73">
        <v>272</v>
      </c>
      <c r="L73">
        <v>2015</v>
      </c>
      <c r="M73">
        <v>2015</v>
      </c>
      <c r="O73" s="1">
        <v>45325</v>
      </c>
      <c r="P73" t="s">
        <v>45</v>
      </c>
      <c r="Q73" t="s">
        <v>441</v>
      </c>
      <c r="R73" t="s">
        <v>29</v>
      </c>
      <c r="V73">
        <v>0</v>
      </c>
      <c r="W73">
        <v>0</v>
      </c>
    </row>
    <row r="74" spans="1:23" x14ac:dyDescent="0.2">
      <c r="A74">
        <v>1544747</v>
      </c>
      <c r="B74" t="s">
        <v>442</v>
      </c>
      <c r="C74" t="s">
        <v>443</v>
      </c>
      <c r="D74" t="s">
        <v>444</v>
      </c>
      <c r="E74" t="s">
        <v>445</v>
      </c>
      <c r="F74" t="str">
        <f>"0451524470"</f>
        <v>0451524470</v>
      </c>
      <c r="G74" t="str">
        <f>"9780451524478"</f>
        <v>9780451524478</v>
      </c>
      <c r="H74">
        <v>0</v>
      </c>
      <c r="I74" t="s">
        <v>446</v>
      </c>
      <c r="J74" t="s">
        <v>321</v>
      </c>
      <c r="L74">
        <v>1988</v>
      </c>
      <c r="M74">
        <v>1902</v>
      </c>
      <c r="O74" s="1">
        <v>45325</v>
      </c>
      <c r="P74" t="s">
        <v>430</v>
      </c>
      <c r="Q74" t="s">
        <v>447</v>
      </c>
      <c r="R74" t="s">
        <v>29</v>
      </c>
      <c r="V74">
        <v>0</v>
      </c>
      <c r="W74">
        <v>0</v>
      </c>
    </row>
    <row r="75" spans="1:23" x14ac:dyDescent="0.2">
      <c r="A75">
        <v>2911094</v>
      </c>
      <c r="B75" t="s">
        <v>448</v>
      </c>
      <c r="C75" t="s">
        <v>449</v>
      </c>
      <c r="D75" t="s">
        <v>450</v>
      </c>
      <c r="F75" t="str">
        <f>"0020434901"</f>
        <v>0020434901</v>
      </c>
      <c r="G75" t="str">
        <f>"9780020434900"</f>
        <v>9780020434900</v>
      </c>
      <c r="H75">
        <v>0</v>
      </c>
      <c r="I75" t="s">
        <v>451</v>
      </c>
      <c r="J75" t="s">
        <v>321</v>
      </c>
      <c r="K75">
        <v>278</v>
      </c>
      <c r="L75">
        <v>1987</v>
      </c>
      <c r="M75">
        <v>1974</v>
      </c>
      <c r="O75" s="1">
        <v>45294</v>
      </c>
      <c r="P75" t="s">
        <v>45</v>
      </c>
      <c r="Q75" t="s">
        <v>452</v>
      </c>
      <c r="R75" t="s">
        <v>29</v>
      </c>
      <c r="V75">
        <v>0</v>
      </c>
      <c r="W75">
        <v>0</v>
      </c>
    </row>
    <row r="76" spans="1:23" x14ac:dyDescent="0.2">
      <c r="A76">
        <v>56303234</v>
      </c>
      <c r="B76" t="s">
        <v>453</v>
      </c>
      <c r="C76" t="s">
        <v>168</v>
      </c>
      <c r="D76" t="s">
        <v>169</v>
      </c>
      <c r="F76" t="str">
        <f>"0008442711"</f>
        <v>0008442711</v>
      </c>
      <c r="G76" t="str">
        <f>"9780008442712"</f>
        <v>9780008442712</v>
      </c>
      <c r="H76">
        <v>0</v>
      </c>
      <c r="I76" t="s">
        <v>92</v>
      </c>
      <c r="J76" t="s">
        <v>44</v>
      </c>
      <c r="K76">
        <v>352</v>
      </c>
      <c r="L76">
        <v>2021</v>
      </c>
      <c r="M76">
        <v>1934</v>
      </c>
      <c r="O76" s="1">
        <v>45154</v>
      </c>
      <c r="P76" t="s">
        <v>45</v>
      </c>
      <c r="Q76" t="s">
        <v>454</v>
      </c>
      <c r="R76" t="s">
        <v>29</v>
      </c>
      <c r="V76">
        <v>0</v>
      </c>
      <c r="W76">
        <v>0</v>
      </c>
    </row>
    <row r="77" spans="1:23" x14ac:dyDescent="0.2">
      <c r="A77">
        <v>42280533</v>
      </c>
      <c r="B77" t="s">
        <v>455</v>
      </c>
      <c r="C77" t="s">
        <v>456</v>
      </c>
      <c r="D77" t="s">
        <v>457</v>
      </c>
      <c r="F77" t="str">
        <f>"1250179955"</f>
        <v>1250179955</v>
      </c>
      <c r="G77" t="str">
        <f>"9781250179951"</f>
        <v>9781250179951</v>
      </c>
      <c r="H77">
        <v>3</v>
      </c>
      <c r="I77" t="s">
        <v>458</v>
      </c>
      <c r="J77" t="s">
        <v>34</v>
      </c>
      <c r="K77">
        <v>292</v>
      </c>
      <c r="L77">
        <v>2019</v>
      </c>
      <c r="M77">
        <v>2014</v>
      </c>
      <c r="N77" s="1">
        <v>45435</v>
      </c>
      <c r="O77" s="1">
        <v>45428</v>
      </c>
      <c r="P77" t="s">
        <v>367</v>
      </c>
      <c r="Q77" t="s">
        <v>459</v>
      </c>
      <c r="R77" t="s">
        <v>37</v>
      </c>
      <c r="S77" t="s">
        <v>460</v>
      </c>
      <c r="V77">
        <v>1</v>
      </c>
      <c r="W77">
        <v>0</v>
      </c>
    </row>
    <row r="78" spans="1:23" x14ac:dyDescent="0.2">
      <c r="A78">
        <v>74990213</v>
      </c>
      <c r="B78" t="s">
        <v>461</v>
      </c>
      <c r="C78" t="s">
        <v>462</v>
      </c>
      <c r="D78" t="s">
        <v>463</v>
      </c>
      <c r="F78" t="str">
        <f>""</f>
        <v/>
      </c>
      <c r="G78" t="str">
        <f>""</f>
        <v/>
      </c>
      <c r="H78">
        <v>5</v>
      </c>
      <c r="I78" t="s">
        <v>92</v>
      </c>
      <c r="J78" t="s">
        <v>44</v>
      </c>
      <c r="K78">
        <v>240</v>
      </c>
      <c r="L78">
        <v>2013</v>
      </c>
      <c r="M78">
        <v>1818</v>
      </c>
      <c r="O78" s="1">
        <v>45154</v>
      </c>
      <c r="P78" t="s">
        <v>35</v>
      </c>
      <c r="Q78" t="s">
        <v>464</v>
      </c>
      <c r="R78" t="s">
        <v>37</v>
      </c>
      <c r="V78">
        <v>1</v>
      </c>
      <c r="W78">
        <v>0</v>
      </c>
    </row>
    <row r="79" spans="1:23" x14ac:dyDescent="0.2">
      <c r="A79">
        <v>8331206</v>
      </c>
      <c r="B79" t="s">
        <v>465</v>
      </c>
      <c r="C79" t="s">
        <v>466</v>
      </c>
      <c r="D79" t="s">
        <v>467</v>
      </c>
      <c r="F79" t="str">
        <f>""</f>
        <v/>
      </c>
      <c r="G79" t="str">
        <f>""</f>
        <v/>
      </c>
      <c r="H79">
        <v>5</v>
      </c>
      <c r="I79" t="s">
        <v>355</v>
      </c>
      <c r="J79" t="s">
        <v>44</v>
      </c>
      <c r="K79">
        <v>224</v>
      </c>
      <c r="L79">
        <v>2010</v>
      </c>
      <c r="M79">
        <v>1890</v>
      </c>
      <c r="N79" s="1">
        <v>44595</v>
      </c>
      <c r="O79" s="1">
        <v>45156</v>
      </c>
      <c r="P79" t="s">
        <v>362</v>
      </c>
      <c r="Q79" t="s">
        <v>468</v>
      </c>
      <c r="R79" t="s">
        <v>37</v>
      </c>
      <c r="V79">
        <v>1</v>
      </c>
      <c r="W79">
        <v>0</v>
      </c>
    </row>
    <row r="80" spans="1:23" x14ac:dyDescent="0.2">
      <c r="A80">
        <v>72132674</v>
      </c>
      <c r="B80" t="s">
        <v>469</v>
      </c>
      <c r="C80" t="s">
        <v>470</v>
      </c>
      <c r="D80" t="s">
        <v>471</v>
      </c>
      <c r="E80" t="s">
        <v>472</v>
      </c>
      <c r="F80" t="str">
        <f>""</f>
        <v/>
      </c>
      <c r="G80" t="str">
        <f>""</f>
        <v/>
      </c>
      <c r="H80">
        <v>0</v>
      </c>
      <c r="I80" t="s">
        <v>473</v>
      </c>
      <c r="J80" t="s">
        <v>321</v>
      </c>
      <c r="K80">
        <v>576</v>
      </c>
      <c r="L80">
        <v>1984</v>
      </c>
      <c r="M80">
        <v>1866</v>
      </c>
      <c r="O80" s="1">
        <v>45146</v>
      </c>
      <c r="P80" t="s">
        <v>474</v>
      </c>
      <c r="Q80" t="s">
        <v>475</v>
      </c>
      <c r="R80" t="s">
        <v>59</v>
      </c>
      <c r="V80">
        <v>1</v>
      </c>
      <c r="W80">
        <v>0</v>
      </c>
    </row>
    <row r="81" spans="1:23" x14ac:dyDescent="0.2">
      <c r="A81">
        <v>49455</v>
      </c>
      <c r="B81" t="s">
        <v>476</v>
      </c>
      <c r="C81" t="s">
        <v>470</v>
      </c>
      <c r="D81" t="s">
        <v>471</v>
      </c>
      <c r="E81" t="s">
        <v>477</v>
      </c>
      <c r="F81" t="str">
        <f>"067973452X"</f>
        <v>067973452X</v>
      </c>
      <c r="G81" t="str">
        <f>"9780679734529"</f>
        <v>9780679734529</v>
      </c>
      <c r="H81">
        <v>4</v>
      </c>
      <c r="I81" t="s">
        <v>478</v>
      </c>
      <c r="J81" t="s">
        <v>44</v>
      </c>
      <c r="K81">
        <v>136</v>
      </c>
      <c r="L81">
        <v>1994</v>
      </c>
      <c r="M81">
        <v>1864</v>
      </c>
      <c r="N81" s="1">
        <v>45119</v>
      </c>
      <c r="O81" s="1">
        <v>45111</v>
      </c>
      <c r="P81" t="s">
        <v>479</v>
      </c>
      <c r="Q81" t="s">
        <v>480</v>
      </c>
      <c r="R81" t="s">
        <v>37</v>
      </c>
      <c r="S81" t="s">
        <v>481</v>
      </c>
      <c r="V81">
        <v>1</v>
      </c>
      <c r="W81">
        <v>0</v>
      </c>
    </row>
    <row r="82" spans="1:23" x14ac:dyDescent="0.2">
      <c r="A82">
        <v>54628361</v>
      </c>
      <c r="B82" t="s">
        <v>482</v>
      </c>
      <c r="C82" t="s">
        <v>483</v>
      </c>
      <c r="D82" t="s">
        <v>484</v>
      </c>
      <c r="F82" t="str">
        <f>""</f>
        <v/>
      </c>
      <c r="G82" t="str">
        <f>""</f>
        <v/>
      </c>
      <c r="H82">
        <v>2</v>
      </c>
      <c r="J82" t="s">
        <v>34</v>
      </c>
      <c r="K82">
        <v>11</v>
      </c>
      <c r="L82">
        <v>2020</v>
      </c>
      <c r="M82">
        <v>1940</v>
      </c>
      <c r="N82" s="1">
        <v>45137</v>
      </c>
      <c r="O82" s="1">
        <v>45136</v>
      </c>
      <c r="P82" t="s">
        <v>485</v>
      </c>
      <c r="Q82" t="s">
        <v>486</v>
      </c>
      <c r="R82" t="s">
        <v>37</v>
      </c>
      <c r="S82" t="s">
        <v>487</v>
      </c>
      <c r="V82">
        <v>1</v>
      </c>
      <c r="W82">
        <v>0</v>
      </c>
    </row>
    <row r="83" spans="1:23" x14ac:dyDescent="0.2">
      <c r="A83">
        <v>40961230</v>
      </c>
      <c r="B83" t="s">
        <v>488</v>
      </c>
      <c r="C83" t="s">
        <v>489</v>
      </c>
      <c r="D83" t="s">
        <v>490</v>
      </c>
      <c r="E83" t="s">
        <v>491</v>
      </c>
      <c r="F83" t="str">
        <f>"0735235244"</f>
        <v>0735235244</v>
      </c>
      <c r="G83" t="str">
        <f>"9780735235243"</f>
        <v>9780735235243</v>
      </c>
      <c r="H83">
        <v>4</v>
      </c>
      <c r="I83" t="s">
        <v>492</v>
      </c>
      <c r="J83" t="s">
        <v>34</v>
      </c>
      <c r="K83">
        <v>281</v>
      </c>
      <c r="L83">
        <v>2018</v>
      </c>
      <c r="M83">
        <v>2012</v>
      </c>
      <c r="N83" s="1">
        <v>45137</v>
      </c>
      <c r="O83" s="1">
        <v>45137</v>
      </c>
      <c r="P83" t="s">
        <v>485</v>
      </c>
      <c r="Q83" t="s">
        <v>493</v>
      </c>
      <c r="R83" t="s">
        <v>37</v>
      </c>
      <c r="S83" t="s">
        <v>494</v>
      </c>
      <c r="V83">
        <v>1</v>
      </c>
      <c r="W83">
        <v>0</v>
      </c>
    </row>
    <row r="84" spans="1:23" x14ac:dyDescent="0.2">
      <c r="A84">
        <v>43586518</v>
      </c>
      <c r="B84" t="s">
        <v>495</v>
      </c>
      <c r="C84" t="s">
        <v>496</v>
      </c>
      <c r="D84" t="s">
        <v>497</v>
      </c>
      <c r="F84" t="str">
        <f>""</f>
        <v/>
      </c>
      <c r="G84" t="str">
        <f>""</f>
        <v/>
      </c>
      <c r="H84">
        <v>3</v>
      </c>
      <c r="J84" t="s">
        <v>34</v>
      </c>
      <c r="K84">
        <v>60</v>
      </c>
      <c r="L84">
        <v>2018</v>
      </c>
      <c r="M84">
        <v>1936</v>
      </c>
      <c r="N84" s="1">
        <v>45203</v>
      </c>
      <c r="O84" s="1">
        <v>45203</v>
      </c>
      <c r="P84" t="s">
        <v>498</v>
      </c>
      <c r="Q84" t="s">
        <v>499</v>
      </c>
      <c r="R84" t="s">
        <v>37</v>
      </c>
      <c r="V84">
        <v>1</v>
      </c>
      <c r="W84">
        <v>0</v>
      </c>
    </row>
    <row r="85" spans="1:23" x14ac:dyDescent="0.2">
      <c r="A85">
        <v>56897474</v>
      </c>
      <c r="B85" t="s">
        <v>500</v>
      </c>
      <c r="C85" t="s">
        <v>501</v>
      </c>
      <c r="D85" t="s">
        <v>502</v>
      </c>
      <c r="F85" t="str">
        <f>"1501153641"</f>
        <v>1501153641</v>
      </c>
      <c r="G85" t="str">
        <f>"9781501153648"</f>
        <v>9781501153648</v>
      </c>
      <c r="H85">
        <v>5</v>
      </c>
      <c r="I85" t="s">
        <v>503</v>
      </c>
      <c r="J85" t="s">
        <v>28</v>
      </c>
      <c r="K85">
        <v>272</v>
      </c>
      <c r="L85">
        <v>2021</v>
      </c>
      <c r="M85">
        <v>2018</v>
      </c>
      <c r="N85" s="1">
        <v>45175</v>
      </c>
      <c r="O85" s="1">
        <v>45134</v>
      </c>
      <c r="P85" t="s">
        <v>504</v>
      </c>
      <c r="Q85" t="s">
        <v>505</v>
      </c>
      <c r="R85" t="s">
        <v>37</v>
      </c>
      <c r="S85" t="s">
        <v>506</v>
      </c>
      <c r="V85">
        <v>1</v>
      </c>
      <c r="W85">
        <v>0</v>
      </c>
    </row>
    <row r="86" spans="1:23" x14ac:dyDescent="0.2">
      <c r="A86">
        <v>41473877</v>
      </c>
      <c r="B86" t="s">
        <v>507</v>
      </c>
      <c r="C86" t="s">
        <v>508</v>
      </c>
      <c r="D86" t="s">
        <v>509</v>
      </c>
      <c r="F86" t="str">
        <f>"133831050X"</f>
        <v>133831050X</v>
      </c>
      <c r="G86" t="str">
        <f>"9781338310504"</f>
        <v>9781338310504</v>
      </c>
      <c r="H86">
        <v>5</v>
      </c>
      <c r="I86" t="s">
        <v>435</v>
      </c>
      <c r="J86" t="s">
        <v>28</v>
      </c>
      <c r="K86">
        <v>240</v>
      </c>
      <c r="L86">
        <v>2019</v>
      </c>
      <c r="M86">
        <v>2019</v>
      </c>
      <c r="N86" s="1">
        <v>45334</v>
      </c>
      <c r="O86" s="1">
        <v>45295</v>
      </c>
      <c r="P86" t="s">
        <v>510</v>
      </c>
      <c r="Q86" t="s">
        <v>511</v>
      </c>
      <c r="R86" t="s">
        <v>37</v>
      </c>
      <c r="S86" t="s">
        <v>512</v>
      </c>
      <c r="V86">
        <v>1</v>
      </c>
      <c r="W86">
        <v>0</v>
      </c>
    </row>
    <row r="87" spans="1:23" x14ac:dyDescent="0.2">
      <c r="A87">
        <v>30278847</v>
      </c>
      <c r="B87" t="s">
        <v>513</v>
      </c>
      <c r="C87" t="s">
        <v>514</v>
      </c>
      <c r="D87" t="s">
        <v>515</v>
      </c>
      <c r="F87" t="str">
        <f>""</f>
        <v/>
      </c>
      <c r="G87" t="str">
        <f>"9789671422700"</f>
        <v>9789671422700</v>
      </c>
      <c r="H87">
        <v>3</v>
      </c>
      <c r="I87" t="s">
        <v>516</v>
      </c>
      <c r="J87" t="s">
        <v>44</v>
      </c>
      <c r="K87">
        <v>120</v>
      </c>
      <c r="L87">
        <v>2016</v>
      </c>
      <c r="N87" s="1">
        <v>45322</v>
      </c>
      <c r="O87" s="1">
        <v>45324</v>
      </c>
      <c r="P87" t="s">
        <v>517</v>
      </c>
      <c r="Q87" t="s">
        <v>518</v>
      </c>
      <c r="R87" t="s">
        <v>37</v>
      </c>
      <c r="V87">
        <v>1</v>
      </c>
      <c r="W87">
        <v>0</v>
      </c>
    </row>
    <row r="88" spans="1:23" x14ac:dyDescent="0.2">
      <c r="A88">
        <v>55710822</v>
      </c>
      <c r="B88" t="s">
        <v>519</v>
      </c>
      <c r="C88" t="s">
        <v>520</v>
      </c>
      <c r="D88" t="s">
        <v>521</v>
      </c>
      <c r="F88" t="str">
        <f>"1534467629"</f>
        <v>1534467629</v>
      </c>
      <c r="G88" t="str">
        <f>"9781534467620"</f>
        <v>9781534467620</v>
      </c>
      <c r="H88">
        <v>0</v>
      </c>
      <c r="I88" t="s">
        <v>409</v>
      </c>
      <c r="J88" t="s">
        <v>28</v>
      </c>
      <c r="K88">
        <v>356</v>
      </c>
      <c r="L88">
        <v>2021</v>
      </c>
      <c r="M88">
        <v>2021</v>
      </c>
      <c r="O88" s="1">
        <v>45319</v>
      </c>
      <c r="P88" t="s">
        <v>522</v>
      </c>
      <c r="Q88" t="s">
        <v>523</v>
      </c>
      <c r="R88" t="s">
        <v>29</v>
      </c>
      <c r="V88">
        <v>0</v>
      </c>
      <c r="W88">
        <v>0</v>
      </c>
    </row>
    <row r="89" spans="1:23" x14ac:dyDescent="0.2">
      <c r="A89">
        <v>11100788</v>
      </c>
      <c r="B89" t="s">
        <v>524</v>
      </c>
      <c r="C89" t="s">
        <v>525</v>
      </c>
      <c r="D89" t="s">
        <v>526</v>
      </c>
      <c r="F89" t="str">
        <f>""</f>
        <v/>
      </c>
      <c r="G89" t="str">
        <f>""</f>
        <v/>
      </c>
      <c r="H89">
        <v>0</v>
      </c>
      <c r="I89" t="s">
        <v>527</v>
      </c>
      <c r="J89" t="s">
        <v>44</v>
      </c>
      <c r="K89">
        <v>181</v>
      </c>
      <c r="L89">
        <v>2011</v>
      </c>
      <c r="M89">
        <v>2011</v>
      </c>
      <c r="O89" s="1">
        <v>45294</v>
      </c>
      <c r="P89" t="s">
        <v>522</v>
      </c>
      <c r="Q89" t="s">
        <v>528</v>
      </c>
      <c r="R89" t="s">
        <v>29</v>
      </c>
      <c r="V89">
        <v>0</v>
      </c>
      <c r="W89">
        <v>0</v>
      </c>
    </row>
    <row r="90" spans="1:23" x14ac:dyDescent="0.2">
      <c r="A90">
        <v>18373</v>
      </c>
      <c r="B90" t="s">
        <v>529</v>
      </c>
      <c r="C90" t="s">
        <v>530</v>
      </c>
      <c r="D90" t="s">
        <v>531</v>
      </c>
      <c r="F90" t="str">
        <f>"015603008X"</f>
        <v>015603008X</v>
      </c>
      <c r="G90" t="str">
        <f>"9780156030083"</f>
        <v>9780156030083</v>
      </c>
      <c r="H90">
        <v>3</v>
      </c>
      <c r="I90" t="s">
        <v>532</v>
      </c>
      <c r="J90" t="s">
        <v>44</v>
      </c>
      <c r="K90">
        <v>311</v>
      </c>
      <c r="L90">
        <v>2004</v>
      </c>
      <c r="M90">
        <v>1966</v>
      </c>
      <c r="N90" s="1">
        <v>45123</v>
      </c>
      <c r="O90" s="1">
        <v>45161</v>
      </c>
      <c r="R90" t="s">
        <v>37</v>
      </c>
      <c r="S90" t="s">
        <v>533</v>
      </c>
      <c r="V90">
        <v>1</v>
      </c>
      <c r="W90">
        <v>0</v>
      </c>
    </row>
    <row r="91" spans="1:23" x14ac:dyDescent="0.2">
      <c r="A91">
        <v>52036</v>
      </c>
      <c r="B91" t="s">
        <v>534</v>
      </c>
      <c r="C91" t="s">
        <v>535</v>
      </c>
      <c r="D91" t="s">
        <v>536</v>
      </c>
      <c r="E91" t="s">
        <v>537</v>
      </c>
      <c r="F91" t="str">
        <f>""</f>
        <v/>
      </c>
      <c r="G91" t="str">
        <f>""</f>
        <v/>
      </c>
      <c r="H91">
        <v>4</v>
      </c>
      <c r="I91" t="s">
        <v>538</v>
      </c>
      <c r="J91" t="s">
        <v>321</v>
      </c>
      <c r="K91">
        <v>152</v>
      </c>
      <c r="L91">
        <v>1981</v>
      </c>
      <c r="M91">
        <v>1922</v>
      </c>
      <c r="N91" s="1">
        <v>45286</v>
      </c>
      <c r="O91" s="1">
        <v>45175</v>
      </c>
      <c r="R91" t="s">
        <v>37</v>
      </c>
      <c r="S91" t="s">
        <v>539</v>
      </c>
      <c r="V91">
        <v>1</v>
      </c>
      <c r="W91">
        <v>0</v>
      </c>
    </row>
    <row r="92" spans="1:23" x14ac:dyDescent="0.2">
      <c r="A92">
        <v>41057388</v>
      </c>
      <c r="B92" t="s">
        <v>540</v>
      </c>
      <c r="C92" t="s">
        <v>74</v>
      </c>
      <c r="D92" t="s">
        <v>75</v>
      </c>
      <c r="F92" t="str">
        <f>""</f>
        <v/>
      </c>
      <c r="G92" t="str">
        <f>""</f>
        <v/>
      </c>
      <c r="H92">
        <v>5</v>
      </c>
      <c r="I92" t="s">
        <v>76</v>
      </c>
      <c r="J92" t="s">
        <v>34</v>
      </c>
      <c r="K92">
        <v>160</v>
      </c>
      <c r="L92">
        <v>2018</v>
      </c>
      <c r="M92">
        <v>2018</v>
      </c>
      <c r="O92" s="1">
        <v>45110</v>
      </c>
      <c r="P92" t="s">
        <v>504</v>
      </c>
      <c r="Q92" t="s">
        <v>541</v>
      </c>
      <c r="R92" t="s">
        <v>37</v>
      </c>
      <c r="V92">
        <v>1</v>
      </c>
      <c r="W92">
        <v>0</v>
      </c>
    </row>
    <row r="93" spans="1:23" x14ac:dyDescent="0.2">
      <c r="A93">
        <v>35606560</v>
      </c>
      <c r="B93" t="s">
        <v>542</v>
      </c>
      <c r="C93" t="s">
        <v>543</v>
      </c>
      <c r="D93" t="s">
        <v>544</v>
      </c>
      <c r="F93" t="str">
        <f>"1449486797"</f>
        <v>1449486797</v>
      </c>
      <c r="G93" t="str">
        <f>"9781449486792"</f>
        <v>9781449486792</v>
      </c>
      <c r="H93">
        <v>1</v>
      </c>
      <c r="I93" t="s">
        <v>545</v>
      </c>
      <c r="J93" t="s">
        <v>44</v>
      </c>
      <c r="K93">
        <v>256</v>
      </c>
      <c r="L93">
        <v>2017</v>
      </c>
      <c r="M93">
        <v>2018</v>
      </c>
      <c r="O93" s="1">
        <v>45110</v>
      </c>
      <c r="P93" t="s">
        <v>517</v>
      </c>
      <c r="Q93" t="s">
        <v>546</v>
      </c>
      <c r="R93" t="s">
        <v>37</v>
      </c>
      <c r="V93">
        <v>1</v>
      </c>
      <c r="W93">
        <v>0</v>
      </c>
    </row>
    <row r="94" spans="1:23" x14ac:dyDescent="0.2">
      <c r="A94">
        <v>23513349</v>
      </c>
      <c r="B94" t="s">
        <v>547</v>
      </c>
      <c r="C94" t="s">
        <v>543</v>
      </c>
      <c r="D94" t="s">
        <v>544</v>
      </c>
      <c r="F94" t="str">
        <f>"1502784270"</f>
        <v>1502784270</v>
      </c>
      <c r="G94" t="str">
        <f>"9781502784278"</f>
        <v>9781502784278</v>
      </c>
      <c r="H94">
        <v>1</v>
      </c>
      <c r="I94" t="s">
        <v>548</v>
      </c>
      <c r="J94" t="s">
        <v>44</v>
      </c>
      <c r="K94">
        <v>204</v>
      </c>
      <c r="L94">
        <v>2014</v>
      </c>
      <c r="M94">
        <v>2014</v>
      </c>
      <c r="O94" s="1">
        <v>45110</v>
      </c>
      <c r="P94" t="s">
        <v>517</v>
      </c>
      <c r="Q94" t="s">
        <v>549</v>
      </c>
      <c r="R94" t="s">
        <v>37</v>
      </c>
      <c r="V94">
        <v>1</v>
      </c>
      <c r="W94">
        <v>0</v>
      </c>
    </row>
    <row r="95" spans="1:23" x14ac:dyDescent="0.2">
      <c r="A95">
        <v>30075802</v>
      </c>
      <c r="B95" t="s">
        <v>550</v>
      </c>
      <c r="C95" t="s">
        <v>551</v>
      </c>
      <c r="D95" t="s">
        <v>552</v>
      </c>
      <c r="F95" t="str">
        <f>"1532913680"</f>
        <v>1532913680</v>
      </c>
      <c r="G95" t="str">
        <f>"9781532913686"</f>
        <v>9781532913686</v>
      </c>
      <c r="H95">
        <v>2</v>
      </c>
      <c r="I95" t="s">
        <v>553</v>
      </c>
      <c r="J95" t="s">
        <v>44</v>
      </c>
      <c r="K95">
        <v>156</v>
      </c>
      <c r="L95">
        <v>2016</v>
      </c>
      <c r="M95">
        <v>2016</v>
      </c>
      <c r="O95" s="1">
        <v>45110</v>
      </c>
      <c r="P95" t="s">
        <v>517</v>
      </c>
      <c r="Q95" t="s">
        <v>554</v>
      </c>
      <c r="R95" t="s">
        <v>37</v>
      </c>
      <c r="V95">
        <v>1</v>
      </c>
      <c r="W95">
        <v>0</v>
      </c>
    </row>
    <row r="96" spans="1:23" x14ac:dyDescent="0.2">
      <c r="A96">
        <v>33208115</v>
      </c>
      <c r="B96" t="s">
        <v>555</v>
      </c>
      <c r="C96" t="s">
        <v>556</v>
      </c>
      <c r="D96" t="s">
        <v>557</v>
      </c>
      <c r="F96" t="str">
        <f>"1501171232"</f>
        <v>1501171232</v>
      </c>
      <c r="G96" t="str">
        <f>"9781501171239"</f>
        <v>9781501171239</v>
      </c>
      <c r="H96">
        <v>3</v>
      </c>
      <c r="I96" t="s">
        <v>558</v>
      </c>
      <c r="J96" t="s">
        <v>44</v>
      </c>
      <c r="K96">
        <v>225</v>
      </c>
      <c r="L96">
        <v>2017</v>
      </c>
      <c r="M96">
        <v>2017</v>
      </c>
      <c r="O96" s="1">
        <v>45110</v>
      </c>
      <c r="P96" t="s">
        <v>517</v>
      </c>
      <c r="Q96" t="s">
        <v>559</v>
      </c>
      <c r="R96" t="s">
        <v>37</v>
      </c>
      <c r="V96">
        <v>1</v>
      </c>
      <c r="W96">
        <v>0</v>
      </c>
    </row>
    <row r="97" spans="1:23" x14ac:dyDescent="0.2">
      <c r="A97">
        <v>49057616</v>
      </c>
      <c r="B97" t="s">
        <v>560</v>
      </c>
      <c r="C97" t="s">
        <v>561</v>
      </c>
      <c r="D97" t="s">
        <v>562</v>
      </c>
      <c r="F97" t="str">
        <f>"9388754433"</f>
        <v>9388754433</v>
      </c>
      <c r="G97" t="str">
        <f>"9789388754439"</f>
        <v>9789388754439</v>
      </c>
      <c r="H97">
        <v>5</v>
      </c>
      <c r="I97" t="s">
        <v>563</v>
      </c>
      <c r="J97" t="s">
        <v>44</v>
      </c>
      <c r="K97">
        <v>224</v>
      </c>
      <c r="L97">
        <v>2019</v>
      </c>
      <c r="M97">
        <v>2019</v>
      </c>
      <c r="N97" s="1">
        <v>45175</v>
      </c>
      <c r="O97" s="1">
        <v>45127</v>
      </c>
      <c r="P97" t="s">
        <v>504</v>
      </c>
      <c r="Q97" t="s">
        <v>564</v>
      </c>
      <c r="R97" t="s">
        <v>37</v>
      </c>
      <c r="S97" t="s">
        <v>565</v>
      </c>
      <c r="V97">
        <v>1</v>
      </c>
      <c r="W97">
        <v>0</v>
      </c>
    </row>
    <row r="98" spans="1:23" x14ac:dyDescent="0.2">
      <c r="A98">
        <v>40591659</v>
      </c>
      <c r="B98" t="s">
        <v>566</v>
      </c>
      <c r="C98" t="s">
        <v>567</v>
      </c>
      <c r="D98" t="s">
        <v>568</v>
      </c>
      <c r="F98" t="str">
        <f>"1523504269"</f>
        <v>1523504269</v>
      </c>
      <c r="G98" t="str">
        <f>"9781523504268"</f>
        <v>9781523504268</v>
      </c>
      <c r="H98">
        <v>1</v>
      </c>
      <c r="I98" t="s">
        <v>569</v>
      </c>
      <c r="J98" t="s">
        <v>28</v>
      </c>
      <c r="K98">
        <v>144</v>
      </c>
      <c r="L98">
        <v>2019</v>
      </c>
      <c r="N98" s="1">
        <v>45157</v>
      </c>
      <c r="O98" s="1">
        <v>45156</v>
      </c>
      <c r="R98" t="s">
        <v>37</v>
      </c>
      <c r="S98" t="s">
        <v>570</v>
      </c>
      <c r="V98">
        <v>1</v>
      </c>
      <c r="W98">
        <v>0</v>
      </c>
    </row>
    <row r="99" spans="1:23" x14ac:dyDescent="0.2">
      <c r="A99">
        <v>2544</v>
      </c>
      <c r="B99" t="s">
        <v>571</v>
      </c>
      <c r="C99" t="s">
        <v>387</v>
      </c>
      <c r="D99" t="s">
        <v>388</v>
      </c>
      <c r="F99" t="str">
        <f>"1600961894"</f>
        <v>1600961894</v>
      </c>
      <c r="G99" t="str">
        <f>"9781600961892"</f>
        <v>9781600961892</v>
      </c>
      <c r="H99">
        <v>4</v>
      </c>
      <c r="I99" t="s">
        <v>572</v>
      </c>
      <c r="J99" t="s">
        <v>44</v>
      </c>
      <c r="K99">
        <v>76</v>
      </c>
      <c r="L99">
        <v>2006</v>
      </c>
      <c r="M99">
        <v>1918</v>
      </c>
      <c r="N99" s="1">
        <v>45157</v>
      </c>
      <c r="O99" s="1">
        <v>45156</v>
      </c>
      <c r="P99" t="s">
        <v>517</v>
      </c>
      <c r="Q99" t="s">
        <v>573</v>
      </c>
      <c r="R99" t="s">
        <v>37</v>
      </c>
      <c r="S99" t="s">
        <v>574</v>
      </c>
      <c r="V99">
        <v>1</v>
      </c>
      <c r="W99">
        <v>0</v>
      </c>
    </row>
    <row r="100" spans="1:23" x14ac:dyDescent="0.2">
      <c r="A100">
        <v>50269327</v>
      </c>
      <c r="B100" t="s">
        <v>575</v>
      </c>
      <c r="C100" t="s">
        <v>576</v>
      </c>
      <c r="D100" t="s">
        <v>577</v>
      </c>
      <c r="E100" t="s">
        <v>578</v>
      </c>
      <c r="F100" t="str">
        <f>"1783785675"</f>
        <v>1783785675</v>
      </c>
      <c r="G100" t="str">
        <f>"9781783785674"</f>
        <v>9781783785674</v>
      </c>
      <c r="H100">
        <v>4</v>
      </c>
      <c r="I100" t="s">
        <v>579</v>
      </c>
      <c r="J100" t="s">
        <v>28</v>
      </c>
      <c r="K100">
        <v>247</v>
      </c>
      <c r="L100">
        <v>2020</v>
      </c>
      <c r="M100">
        <v>2018</v>
      </c>
      <c r="N100" s="1">
        <v>45153</v>
      </c>
      <c r="O100" s="1">
        <v>45153</v>
      </c>
      <c r="P100" t="s">
        <v>485</v>
      </c>
      <c r="Q100" t="s">
        <v>580</v>
      </c>
      <c r="R100" t="s">
        <v>37</v>
      </c>
      <c r="S100" t="s">
        <v>581</v>
      </c>
      <c r="V100">
        <v>1</v>
      </c>
      <c r="W100">
        <v>0</v>
      </c>
    </row>
    <row r="101" spans="1:23" x14ac:dyDescent="0.2">
      <c r="A101">
        <v>25733573</v>
      </c>
      <c r="B101" t="s">
        <v>582</v>
      </c>
      <c r="C101" t="s">
        <v>583</v>
      </c>
      <c r="D101" t="s">
        <v>584</v>
      </c>
      <c r="F101" t="str">
        <f>"0143128728"</f>
        <v>0143128728</v>
      </c>
      <c r="G101" t="str">
        <f>"9780143128724"</f>
        <v>9780143128724</v>
      </c>
      <c r="H101">
        <v>4</v>
      </c>
      <c r="I101" t="s">
        <v>585</v>
      </c>
      <c r="J101" t="s">
        <v>44</v>
      </c>
      <c r="K101">
        <v>256</v>
      </c>
      <c r="L101">
        <v>2016</v>
      </c>
      <c r="M101">
        <v>2015</v>
      </c>
      <c r="O101" s="1">
        <v>45110</v>
      </c>
      <c r="P101" t="s">
        <v>187</v>
      </c>
      <c r="Q101" t="s">
        <v>586</v>
      </c>
      <c r="R101" t="s">
        <v>37</v>
      </c>
      <c r="V101">
        <v>1</v>
      </c>
      <c r="W101">
        <v>0</v>
      </c>
    </row>
    <row r="102" spans="1:23" x14ac:dyDescent="0.2">
      <c r="A102">
        <v>4069</v>
      </c>
      <c r="B102" t="s">
        <v>587</v>
      </c>
      <c r="C102" t="s">
        <v>588</v>
      </c>
      <c r="D102" t="s">
        <v>589</v>
      </c>
      <c r="E102" t="s">
        <v>590</v>
      </c>
      <c r="F102" t="str">
        <f>"080701429X"</f>
        <v>080701429X</v>
      </c>
      <c r="G102" t="str">
        <f>"9780807014295"</f>
        <v>9780807014295</v>
      </c>
      <c r="H102">
        <v>4</v>
      </c>
      <c r="I102" t="s">
        <v>591</v>
      </c>
      <c r="J102" t="s">
        <v>44</v>
      </c>
      <c r="K102">
        <v>165</v>
      </c>
      <c r="L102">
        <v>2006</v>
      </c>
      <c r="M102">
        <v>1946</v>
      </c>
      <c r="N102" s="1">
        <v>44804</v>
      </c>
      <c r="O102" s="1">
        <v>45110</v>
      </c>
      <c r="P102" t="s">
        <v>187</v>
      </c>
      <c r="Q102" t="s">
        <v>592</v>
      </c>
      <c r="R102" t="s">
        <v>37</v>
      </c>
      <c r="V102">
        <v>1</v>
      </c>
      <c r="W102">
        <v>0</v>
      </c>
    </row>
    <row r="103" spans="1:23" x14ac:dyDescent="0.2">
      <c r="A103">
        <v>136406459</v>
      </c>
      <c r="B103" t="s">
        <v>593</v>
      </c>
      <c r="C103" t="s">
        <v>594</v>
      </c>
      <c r="D103" t="s">
        <v>595</v>
      </c>
      <c r="F103" t="str">
        <f>""</f>
        <v/>
      </c>
      <c r="G103" t="str">
        <f>""</f>
        <v/>
      </c>
      <c r="H103">
        <v>2</v>
      </c>
      <c r="I103" t="s">
        <v>596</v>
      </c>
      <c r="J103" t="s">
        <v>44</v>
      </c>
      <c r="K103">
        <v>80</v>
      </c>
      <c r="L103">
        <v>2004</v>
      </c>
      <c r="M103">
        <v>2004</v>
      </c>
      <c r="N103" s="1">
        <v>44657</v>
      </c>
      <c r="O103" s="1">
        <v>45144</v>
      </c>
      <c r="P103" t="s">
        <v>187</v>
      </c>
      <c r="Q103" t="s">
        <v>597</v>
      </c>
      <c r="R103" t="s">
        <v>37</v>
      </c>
      <c r="V103">
        <v>1</v>
      </c>
      <c r="W103">
        <v>0</v>
      </c>
    </row>
    <row r="104" spans="1:23" x14ac:dyDescent="0.2">
      <c r="A104">
        <v>174713</v>
      </c>
      <c r="B104" t="s">
        <v>598</v>
      </c>
      <c r="C104" t="s">
        <v>599</v>
      </c>
      <c r="D104" t="s">
        <v>600</v>
      </c>
      <c r="E104" t="s">
        <v>601</v>
      </c>
      <c r="F104" t="str">
        <f>"1567310249"</f>
        <v>1567310249</v>
      </c>
      <c r="G104" t="str">
        <f>"9781567310245"</f>
        <v>9781567310245</v>
      </c>
      <c r="H104">
        <v>4</v>
      </c>
      <c r="I104" t="s">
        <v>602</v>
      </c>
      <c r="J104" t="s">
        <v>28</v>
      </c>
      <c r="K104">
        <v>119</v>
      </c>
      <c r="L104">
        <v>1997</v>
      </c>
      <c r="M104">
        <v>1968</v>
      </c>
      <c r="N104" s="1">
        <v>45149</v>
      </c>
      <c r="O104" s="1">
        <v>45149</v>
      </c>
      <c r="P104" t="s">
        <v>187</v>
      </c>
      <c r="Q104" t="s">
        <v>603</v>
      </c>
      <c r="R104" t="s">
        <v>37</v>
      </c>
      <c r="S104" t="s">
        <v>604</v>
      </c>
      <c r="V104">
        <v>1</v>
      </c>
      <c r="W104">
        <v>0</v>
      </c>
    </row>
    <row r="105" spans="1:23" x14ac:dyDescent="0.2">
      <c r="A105">
        <v>25587975</v>
      </c>
      <c r="B105" t="s">
        <v>605</v>
      </c>
      <c r="C105" t="s">
        <v>606</v>
      </c>
      <c r="D105" t="s">
        <v>607</v>
      </c>
      <c r="F105" t="str">
        <f>""</f>
        <v/>
      </c>
      <c r="G105" t="str">
        <f>""</f>
        <v/>
      </c>
      <c r="H105">
        <v>1</v>
      </c>
      <c r="I105" t="s">
        <v>608</v>
      </c>
      <c r="J105" t="s">
        <v>44</v>
      </c>
      <c r="K105">
        <v>376</v>
      </c>
      <c r="L105">
        <v>1995</v>
      </c>
      <c r="M105">
        <v>1960</v>
      </c>
      <c r="N105" s="1">
        <v>45146</v>
      </c>
      <c r="O105" s="1">
        <v>45124</v>
      </c>
      <c r="R105" t="s">
        <v>37</v>
      </c>
      <c r="S105" t="s">
        <v>609</v>
      </c>
      <c r="V105">
        <v>1</v>
      </c>
      <c r="W105">
        <v>0</v>
      </c>
    </row>
    <row r="106" spans="1:23" x14ac:dyDescent="0.2">
      <c r="A106">
        <v>761365</v>
      </c>
      <c r="B106" t="s">
        <v>610</v>
      </c>
      <c r="C106" t="s">
        <v>611</v>
      </c>
      <c r="D106" t="s">
        <v>612</v>
      </c>
      <c r="E106" t="s">
        <v>613</v>
      </c>
      <c r="F106" t="str">
        <f>"0152518738"</f>
        <v>0152518738</v>
      </c>
      <c r="G106" t="str">
        <f>"9780152518738"</f>
        <v>9780152518738</v>
      </c>
      <c r="H106">
        <v>5</v>
      </c>
      <c r="I106" t="s">
        <v>614</v>
      </c>
      <c r="J106" t="s">
        <v>28</v>
      </c>
      <c r="K106">
        <v>48</v>
      </c>
      <c r="L106">
        <v>1981</v>
      </c>
      <c r="M106">
        <v>1943</v>
      </c>
      <c r="N106" s="1">
        <v>45145</v>
      </c>
      <c r="O106" s="1">
        <v>45144</v>
      </c>
      <c r="R106" t="s">
        <v>37</v>
      </c>
      <c r="S106" t="s">
        <v>615</v>
      </c>
      <c r="V106">
        <v>1</v>
      </c>
      <c r="W106">
        <v>0</v>
      </c>
    </row>
    <row r="107" spans="1:23" x14ac:dyDescent="0.2">
      <c r="A107">
        <v>7407023</v>
      </c>
      <c r="B107" t="s">
        <v>616</v>
      </c>
      <c r="C107" t="s">
        <v>617</v>
      </c>
      <c r="D107" t="s">
        <v>618</v>
      </c>
      <c r="F107" t="str">
        <f>"1412185149"</f>
        <v>1412185149</v>
      </c>
      <c r="G107" t="str">
        <f>"9781412185141"</f>
        <v>9781412185141</v>
      </c>
      <c r="H107">
        <v>4</v>
      </c>
      <c r="I107" t="s">
        <v>619</v>
      </c>
      <c r="J107" t="s">
        <v>235</v>
      </c>
      <c r="K107">
        <v>12</v>
      </c>
      <c r="L107">
        <v>2009</v>
      </c>
      <c r="M107">
        <v>1912</v>
      </c>
      <c r="N107" s="1">
        <v>45145</v>
      </c>
      <c r="O107" s="1">
        <v>45144</v>
      </c>
      <c r="R107" t="s">
        <v>37</v>
      </c>
      <c r="S107" t="s">
        <v>620</v>
      </c>
      <c r="V107">
        <v>1</v>
      </c>
      <c r="W107">
        <v>0</v>
      </c>
    </row>
    <row r="108" spans="1:23" x14ac:dyDescent="0.2">
      <c r="A108">
        <v>56755560</v>
      </c>
      <c r="B108" t="s">
        <v>621</v>
      </c>
      <c r="C108" t="s">
        <v>622</v>
      </c>
      <c r="D108" t="s">
        <v>623</v>
      </c>
      <c r="E108" t="s">
        <v>624</v>
      </c>
      <c r="F108" t="str">
        <f>"0063095726"</f>
        <v>0063095726</v>
      </c>
      <c r="G108" t="str">
        <f>"9780063095724"</f>
        <v>9780063095724</v>
      </c>
      <c r="H108">
        <v>5</v>
      </c>
      <c r="I108" t="s">
        <v>625</v>
      </c>
      <c r="J108" t="s">
        <v>28</v>
      </c>
      <c r="K108">
        <v>199</v>
      </c>
      <c r="L108">
        <v>2021</v>
      </c>
      <c r="M108">
        <v>2017</v>
      </c>
      <c r="N108" s="1">
        <v>45137</v>
      </c>
      <c r="O108" s="1">
        <v>45136</v>
      </c>
      <c r="P108" t="s">
        <v>485</v>
      </c>
      <c r="Q108" t="s">
        <v>626</v>
      </c>
      <c r="R108" t="s">
        <v>37</v>
      </c>
      <c r="S108" t="s">
        <v>627</v>
      </c>
      <c r="V108">
        <v>1</v>
      </c>
      <c r="W108">
        <v>0</v>
      </c>
    </row>
    <row r="109" spans="1:23" x14ac:dyDescent="0.2">
      <c r="A109">
        <v>157993</v>
      </c>
      <c r="B109" t="s">
        <v>628</v>
      </c>
      <c r="C109" t="s">
        <v>629</v>
      </c>
      <c r="D109" t="s">
        <v>630</v>
      </c>
      <c r="E109" t="s">
        <v>631</v>
      </c>
      <c r="F109" t="str">
        <f>"0152023984"</f>
        <v>0152023984</v>
      </c>
      <c r="G109" t="str">
        <f>"9780152023980"</f>
        <v>9780152023980</v>
      </c>
      <c r="H109">
        <v>5</v>
      </c>
      <c r="I109" t="s">
        <v>632</v>
      </c>
      <c r="J109" t="s">
        <v>28</v>
      </c>
      <c r="K109">
        <v>96</v>
      </c>
      <c r="L109">
        <v>2000</v>
      </c>
      <c r="M109">
        <v>1943</v>
      </c>
      <c r="O109" s="1">
        <v>45110</v>
      </c>
      <c r="P109" t="s">
        <v>633</v>
      </c>
      <c r="Q109" t="s">
        <v>634</v>
      </c>
      <c r="R109" t="s">
        <v>37</v>
      </c>
      <c r="V109">
        <v>1</v>
      </c>
      <c r="W109">
        <v>0</v>
      </c>
    </row>
    <row r="110" spans="1:23" x14ac:dyDescent="0.2">
      <c r="A110">
        <v>49802501</v>
      </c>
      <c r="B110" t="s">
        <v>635</v>
      </c>
      <c r="C110" t="s">
        <v>576</v>
      </c>
      <c r="D110" t="s">
        <v>577</v>
      </c>
      <c r="F110" t="str">
        <f>"1783785578"</f>
        <v>1783785578</v>
      </c>
      <c r="G110" t="str">
        <f>"9781783785575"</f>
        <v>9781783785575</v>
      </c>
      <c r="H110">
        <v>3</v>
      </c>
      <c r="I110" t="s">
        <v>636</v>
      </c>
      <c r="J110" t="s">
        <v>44</v>
      </c>
      <c r="K110">
        <v>159</v>
      </c>
      <c r="L110">
        <v>2018</v>
      </c>
      <c r="M110">
        <v>2016</v>
      </c>
      <c r="N110" s="1">
        <v>45136</v>
      </c>
      <c r="O110" s="1">
        <v>45135</v>
      </c>
      <c r="P110" t="s">
        <v>485</v>
      </c>
      <c r="Q110" t="s">
        <v>637</v>
      </c>
      <c r="R110" t="s">
        <v>37</v>
      </c>
      <c r="S110" t="s">
        <v>638</v>
      </c>
      <c r="V110">
        <v>1</v>
      </c>
      <c r="W110">
        <v>0</v>
      </c>
    </row>
    <row r="111" spans="1:23" x14ac:dyDescent="0.2">
      <c r="A111">
        <v>194746</v>
      </c>
      <c r="B111" t="s">
        <v>639</v>
      </c>
      <c r="C111" t="s">
        <v>483</v>
      </c>
      <c r="D111" t="s">
        <v>484</v>
      </c>
      <c r="E111" t="s">
        <v>640</v>
      </c>
      <c r="F111" t="str">
        <f>""</f>
        <v/>
      </c>
      <c r="G111" t="str">
        <f>""</f>
        <v/>
      </c>
      <c r="H111">
        <v>5</v>
      </c>
      <c r="I111" t="s">
        <v>27</v>
      </c>
      <c r="J111" t="s">
        <v>44</v>
      </c>
      <c r="K111">
        <v>176</v>
      </c>
      <c r="L111">
        <v>1958</v>
      </c>
      <c r="M111">
        <v>1948</v>
      </c>
      <c r="N111" s="1">
        <v>44651</v>
      </c>
      <c r="O111" s="1">
        <v>45110</v>
      </c>
      <c r="P111" t="s">
        <v>485</v>
      </c>
      <c r="Q111" t="s">
        <v>641</v>
      </c>
      <c r="R111" t="s">
        <v>37</v>
      </c>
      <c r="S111" t="s">
        <v>642</v>
      </c>
      <c r="V111">
        <v>1</v>
      </c>
      <c r="W111">
        <v>0</v>
      </c>
    </row>
    <row r="112" spans="1:23" x14ac:dyDescent="0.2">
      <c r="A112">
        <v>40740914</v>
      </c>
      <c r="B112" t="s">
        <v>643</v>
      </c>
      <c r="C112" t="s">
        <v>644</v>
      </c>
      <c r="D112" t="s">
        <v>645</v>
      </c>
      <c r="E112" t="s">
        <v>646</v>
      </c>
      <c r="F112" t="str">
        <f>"1509889175"</f>
        <v>1509889175</v>
      </c>
      <c r="G112" t="str">
        <f>"9781509889174"</f>
        <v>9781509889174</v>
      </c>
      <c r="H112">
        <v>3</v>
      </c>
      <c r="I112" t="s">
        <v>647</v>
      </c>
      <c r="J112" t="s">
        <v>44</v>
      </c>
      <c r="K112">
        <v>202</v>
      </c>
      <c r="L112">
        <v>2018</v>
      </c>
      <c r="M112">
        <v>2012</v>
      </c>
      <c r="N112" s="1">
        <v>45135</v>
      </c>
      <c r="O112" s="1">
        <v>45134</v>
      </c>
      <c r="P112" t="s">
        <v>485</v>
      </c>
      <c r="Q112" t="s">
        <v>648</v>
      </c>
      <c r="R112" t="s">
        <v>37</v>
      </c>
      <c r="S112" t="s">
        <v>649</v>
      </c>
      <c r="V112">
        <v>1</v>
      </c>
      <c r="W112">
        <v>0</v>
      </c>
    </row>
    <row r="113" spans="1:23" x14ac:dyDescent="0.2">
      <c r="A113">
        <v>41150487</v>
      </c>
      <c r="B113" t="s">
        <v>650</v>
      </c>
      <c r="C113" t="s">
        <v>651</v>
      </c>
      <c r="D113" t="s">
        <v>652</v>
      </c>
      <c r="F113" t="str">
        <f>"1250316774"</f>
        <v>1250316774</v>
      </c>
      <c r="G113" t="str">
        <f>"9781250316776"</f>
        <v>9781250316776</v>
      </c>
      <c r="H113">
        <v>3</v>
      </c>
      <c r="I113" t="s">
        <v>653</v>
      </c>
      <c r="J113" t="s">
        <v>44</v>
      </c>
      <c r="K113">
        <v>443</v>
      </c>
      <c r="L113">
        <v>2019</v>
      </c>
      <c r="M113">
        <v>2019</v>
      </c>
      <c r="N113" s="1">
        <v>45129</v>
      </c>
      <c r="O113" s="1">
        <v>45126</v>
      </c>
      <c r="R113" t="s">
        <v>37</v>
      </c>
      <c r="S113" t="s">
        <v>654</v>
      </c>
      <c r="V113">
        <v>1</v>
      </c>
      <c r="W113">
        <v>0</v>
      </c>
    </row>
    <row r="114" spans="1:23" x14ac:dyDescent="0.2">
      <c r="A114">
        <v>160374</v>
      </c>
      <c r="B114" t="s">
        <v>655</v>
      </c>
      <c r="C114" t="s">
        <v>61</v>
      </c>
      <c r="D114" t="s">
        <v>62</v>
      </c>
      <c r="E114" t="s">
        <v>656</v>
      </c>
      <c r="F114" t="str">
        <f>"0553210351"</f>
        <v>0553210351</v>
      </c>
      <c r="G114" t="str">
        <f>"9780553210354"</f>
        <v>9780553210354</v>
      </c>
      <c r="H114">
        <v>3</v>
      </c>
      <c r="I114" t="s">
        <v>320</v>
      </c>
      <c r="J114" t="s">
        <v>44</v>
      </c>
      <c r="K114">
        <v>113</v>
      </c>
      <c r="L114">
        <v>2004</v>
      </c>
      <c r="M114">
        <v>1886</v>
      </c>
      <c r="N114" s="1">
        <v>45112</v>
      </c>
      <c r="O114" s="1">
        <v>45111</v>
      </c>
      <c r="P114" t="s">
        <v>479</v>
      </c>
      <c r="Q114" t="s">
        <v>657</v>
      </c>
      <c r="R114" t="s">
        <v>37</v>
      </c>
      <c r="S114" t="s">
        <v>658</v>
      </c>
      <c r="V114">
        <v>1</v>
      </c>
      <c r="W114">
        <v>0</v>
      </c>
    </row>
    <row r="115" spans="1:23" x14ac:dyDescent="0.2">
      <c r="A115">
        <v>38926487</v>
      </c>
      <c r="B115" t="s">
        <v>659</v>
      </c>
      <c r="C115" t="s">
        <v>660</v>
      </c>
      <c r="D115" t="s">
        <v>661</v>
      </c>
      <c r="F115" t="str">
        <f>"1501193325"</f>
        <v>1501193325</v>
      </c>
      <c r="G115" t="str">
        <f>"9781501193323"</f>
        <v>9781501193323</v>
      </c>
      <c r="H115">
        <v>2</v>
      </c>
      <c r="I115" t="s">
        <v>558</v>
      </c>
      <c r="J115" t="s">
        <v>44</v>
      </c>
      <c r="K115">
        <v>305</v>
      </c>
      <c r="L115">
        <v>2018</v>
      </c>
      <c r="M115">
        <v>2018</v>
      </c>
      <c r="N115" s="1">
        <v>44927</v>
      </c>
      <c r="O115" s="1">
        <v>45124</v>
      </c>
      <c r="R115" t="s">
        <v>37</v>
      </c>
      <c r="S115" t="s">
        <v>662</v>
      </c>
      <c r="V115">
        <v>1</v>
      </c>
      <c r="W115">
        <v>0</v>
      </c>
    </row>
    <row r="116" spans="1:23" x14ac:dyDescent="0.2">
      <c r="A116">
        <v>537094</v>
      </c>
      <c r="B116" t="s">
        <v>663</v>
      </c>
      <c r="C116" t="s">
        <v>664</v>
      </c>
      <c r="D116" t="s">
        <v>665</v>
      </c>
      <c r="F116" t="str">
        <f>"1419176528"</f>
        <v>1419176528</v>
      </c>
      <c r="G116" t="str">
        <f>"9781419176524"</f>
        <v>9781419176524</v>
      </c>
      <c r="H116">
        <v>4</v>
      </c>
      <c r="I116" t="s">
        <v>666</v>
      </c>
      <c r="J116" t="s">
        <v>44</v>
      </c>
      <c r="K116">
        <v>57</v>
      </c>
      <c r="L116">
        <v>2004</v>
      </c>
      <c r="M116">
        <v>1842</v>
      </c>
      <c r="N116" s="1">
        <v>45122</v>
      </c>
      <c r="O116" s="1">
        <v>45121</v>
      </c>
      <c r="P116" t="s">
        <v>479</v>
      </c>
      <c r="Q116" t="s">
        <v>667</v>
      </c>
      <c r="R116" t="s">
        <v>37</v>
      </c>
      <c r="S116" t="s">
        <v>668</v>
      </c>
      <c r="V116">
        <v>1</v>
      </c>
      <c r="W116">
        <v>0</v>
      </c>
    </row>
    <row r="117" spans="1:23" x14ac:dyDescent="0.2">
      <c r="A117">
        <v>6900</v>
      </c>
      <c r="B117" t="s">
        <v>669</v>
      </c>
      <c r="C117" t="s">
        <v>109</v>
      </c>
      <c r="D117" t="s">
        <v>110</v>
      </c>
      <c r="F117" t="str">
        <f>""</f>
        <v/>
      </c>
      <c r="G117" t="str">
        <f>""</f>
        <v/>
      </c>
      <c r="H117">
        <v>4</v>
      </c>
      <c r="I117" t="s">
        <v>670</v>
      </c>
      <c r="J117" t="s">
        <v>44</v>
      </c>
      <c r="K117">
        <v>210</v>
      </c>
      <c r="L117">
        <v>2000</v>
      </c>
      <c r="M117">
        <v>1997</v>
      </c>
      <c r="N117" s="1">
        <v>44834</v>
      </c>
      <c r="O117" s="1">
        <v>45112</v>
      </c>
      <c r="R117" t="s">
        <v>37</v>
      </c>
      <c r="V117">
        <v>1</v>
      </c>
      <c r="W117">
        <v>0</v>
      </c>
    </row>
    <row r="118" spans="1:23" x14ac:dyDescent="0.2">
      <c r="A118">
        <v>13623848</v>
      </c>
      <c r="B118" t="s">
        <v>671</v>
      </c>
      <c r="C118" t="s">
        <v>672</v>
      </c>
      <c r="D118" t="s">
        <v>673</v>
      </c>
      <c r="F118" t="str">
        <f>""</f>
        <v/>
      </c>
      <c r="G118" t="str">
        <f>""</f>
        <v/>
      </c>
      <c r="H118">
        <v>4</v>
      </c>
      <c r="I118" t="s">
        <v>674</v>
      </c>
      <c r="J118" t="s">
        <v>44</v>
      </c>
      <c r="K118">
        <v>408</v>
      </c>
      <c r="L118">
        <v>2012</v>
      </c>
      <c r="M118">
        <v>2011</v>
      </c>
      <c r="N118" s="1">
        <v>44773</v>
      </c>
      <c r="O118" s="1">
        <v>45110</v>
      </c>
      <c r="R118" t="s">
        <v>37</v>
      </c>
      <c r="S118" t="s">
        <v>675</v>
      </c>
      <c r="T118" t="b">
        <v>1</v>
      </c>
      <c r="V118">
        <v>1</v>
      </c>
      <c r="W118">
        <v>0</v>
      </c>
    </row>
    <row r="119" spans="1:23" x14ac:dyDescent="0.2">
      <c r="A119">
        <v>8217236</v>
      </c>
      <c r="B119" t="s">
        <v>676</v>
      </c>
      <c r="C119" t="s">
        <v>295</v>
      </c>
      <c r="D119" t="s">
        <v>296</v>
      </c>
      <c r="F119" t="str">
        <f>""</f>
        <v/>
      </c>
      <c r="G119" t="str">
        <f>""</f>
        <v/>
      </c>
      <c r="H119">
        <v>2</v>
      </c>
      <c r="I119" t="s">
        <v>677</v>
      </c>
      <c r="J119" t="s">
        <v>34</v>
      </c>
      <c r="K119">
        <v>63</v>
      </c>
      <c r="L119">
        <v>2009</v>
      </c>
      <c r="M119">
        <v>1892</v>
      </c>
      <c r="N119" s="1">
        <v>44742</v>
      </c>
      <c r="O119" s="1">
        <v>45110</v>
      </c>
      <c r="R119" t="s">
        <v>37</v>
      </c>
      <c r="V119">
        <v>1</v>
      </c>
      <c r="W119">
        <v>0</v>
      </c>
    </row>
    <row r="120" spans="1:23" x14ac:dyDescent="0.2">
      <c r="A120">
        <v>485894</v>
      </c>
      <c r="B120" t="s">
        <v>678</v>
      </c>
      <c r="C120" t="s">
        <v>679</v>
      </c>
      <c r="D120" t="s">
        <v>680</v>
      </c>
      <c r="E120" t="s">
        <v>681</v>
      </c>
      <c r="F120" t="str">
        <f>"0553213695"</f>
        <v>0553213695</v>
      </c>
      <c r="G120" t="str">
        <f>"9780553213690"</f>
        <v>9780553213690</v>
      </c>
      <c r="H120">
        <v>3</v>
      </c>
      <c r="I120" t="s">
        <v>473</v>
      </c>
      <c r="J120" t="s">
        <v>321</v>
      </c>
      <c r="K120">
        <v>201</v>
      </c>
      <c r="L120">
        <v>1972</v>
      </c>
      <c r="M120">
        <v>1915</v>
      </c>
      <c r="N120" s="1">
        <v>44712</v>
      </c>
      <c r="O120" s="1">
        <v>45110</v>
      </c>
      <c r="R120" t="s">
        <v>37</v>
      </c>
      <c r="S120" t="s">
        <v>682</v>
      </c>
      <c r="V120">
        <v>1</v>
      </c>
      <c r="W120">
        <v>0</v>
      </c>
    </row>
    <row r="121" spans="1:23" x14ac:dyDescent="0.2">
      <c r="A121">
        <v>3097601</v>
      </c>
      <c r="B121" t="s">
        <v>683</v>
      </c>
      <c r="C121" t="s">
        <v>684</v>
      </c>
      <c r="D121" t="s">
        <v>685</v>
      </c>
      <c r="F121" t="str">
        <f>"0060737557"</f>
        <v>0060737557</v>
      </c>
      <c r="G121" t="str">
        <f>"9780060737559"</f>
        <v>9780060737559</v>
      </c>
      <c r="H121">
        <v>3</v>
      </c>
      <c r="I121" t="s">
        <v>196</v>
      </c>
      <c r="J121" t="s">
        <v>44</v>
      </c>
      <c r="K121">
        <v>295</v>
      </c>
      <c r="L121">
        <v>2008</v>
      </c>
      <c r="M121">
        <v>2008</v>
      </c>
      <c r="N121" s="1">
        <v>44681</v>
      </c>
      <c r="O121" s="1">
        <v>45110</v>
      </c>
      <c r="R121" t="s">
        <v>37</v>
      </c>
      <c r="S121" t="s">
        <v>686</v>
      </c>
      <c r="V121">
        <v>1</v>
      </c>
      <c r="W121">
        <v>0</v>
      </c>
    </row>
    <row r="122" spans="1:23" x14ac:dyDescent="0.2">
      <c r="A122">
        <v>52578297</v>
      </c>
      <c r="B122" t="s">
        <v>687</v>
      </c>
      <c r="C122" t="s">
        <v>583</v>
      </c>
      <c r="D122" t="s">
        <v>584</v>
      </c>
      <c r="F122" t="str">
        <f>"0525559477"</f>
        <v>0525559477</v>
      </c>
      <c r="G122" t="str">
        <f>"9780525559474"</f>
        <v>9780525559474</v>
      </c>
      <c r="H122">
        <v>5</v>
      </c>
      <c r="I122" t="s">
        <v>492</v>
      </c>
      <c r="J122" t="s">
        <v>28</v>
      </c>
      <c r="K122">
        <v>288</v>
      </c>
      <c r="L122">
        <v>2020</v>
      </c>
      <c r="M122">
        <v>2020</v>
      </c>
      <c r="N122" s="1">
        <v>44620</v>
      </c>
      <c r="O122" s="1">
        <v>45110</v>
      </c>
      <c r="R122" t="s">
        <v>37</v>
      </c>
      <c r="S122" t="s">
        <v>688</v>
      </c>
      <c r="V122">
        <v>1</v>
      </c>
      <c r="W122">
        <v>0</v>
      </c>
    </row>
    <row r="123" spans="1:23" x14ac:dyDescent="0.2">
      <c r="A123">
        <v>480204</v>
      </c>
      <c r="B123" t="s">
        <v>689</v>
      </c>
      <c r="C123" t="s">
        <v>690</v>
      </c>
      <c r="D123" t="s">
        <v>691</v>
      </c>
      <c r="F123" t="str">
        <f>"0060809248"</f>
        <v>0060809248</v>
      </c>
      <c r="G123" t="str">
        <f>"9780060809249"</f>
        <v>9780060809249</v>
      </c>
      <c r="H123">
        <v>4</v>
      </c>
      <c r="I123" t="s">
        <v>692</v>
      </c>
      <c r="J123" t="s">
        <v>321</v>
      </c>
      <c r="K123">
        <v>360</v>
      </c>
      <c r="L123">
        <v>1987</v>
      </c>
      <c r="M123">
        <v>1910</v>
      </c>
      <c r="N123" s="1">
        <v>45112</v>
      </c>
      <c r="O123" s="1">
        <v>45111</v>
      </c>
      <c r="R123" t="s">
        <v>37</v>
      </c>
      <c r="S123" t="s">
        <v>693</v>
      </c>
      <c r="V123">
        <v>1</v>
      </c>
      <c r="W123">
        <v>0</v>
      </c>
    </row>
    <row r="124" spans="1:23" x14ac:dyDescent="0.2">
      <c r="A124">
        <v>29056083</v>
      </c>
      <c r="B124" t="s">
        <v>694</v>
      </c>
      <c r="C124" t="s">
        <v>133</v>
      </c>
      <c r="D124" t="s">
        <v>134</v>
      </c>
      <c r="E124" t="s">
        <v>695</v>
      </c>
      <c r="F124" t="str">
        <f>"0540027340"</f>
        <v>0540027340</v>
      </c>
      <c r="G124" t="str">
        <f>"9780540027347"</f>
        <v>9780540027347</v>
      </c>
      <c r="H124">
        <v>1</v>
      </c>
      <c r="I124" t="s">
        <v>696</v>
      </c>
      <c r="J124" t="s">
        <v>28</v>
      </c>
      <c r="K124">
        <v>343</v>
      </c>
      <c r="L124">
        <v>2016</v>
      </c>
      <c r="M124">
        <v>2016</v>
      </c>
      <c r="N124" s="1">
        <v>44009</v>
      </c>
      <c r="O124" s="1">
        <v>45111</v>
      </c>
      <c r="R124" t="s">
        <v>37</v>
      </c>
      <c r="V124">
        <v>1</v>
      </c>
      <c r="W124">
        <v>0</v>
      </c>
    </row>
    <row r="125" spans="1:23" x14ac:dyDescent="0.2">
      <c r="A125">
        <v>136637991</v>
      </c>
      <c r="B125" t="s">
        <v>697</v>
      </c>
      <c r="C125" t="s">
        <v>133</v>
      </c>
      <c r="D125" t="s">
        <v>134</v>
      </c>
      <c r="F125" t="str">
        <f>""</f>
        <v/>
      </c>
      <c r="G125" t="str">
        <f>""</f>
        <v/>
      </c>
      <c r="H125">
        <v>3</v>
      </c>
      <c r="I125" t="s">
        <v>136</v>
      </c>
      <c r="J125" t="s">
        <v>28</v>
      </c>
      <c r="K125">
        <v>0</v>
      </c>
      <c r="L125">
        <v>2007</v>
      </c>
      <c r="M125">
        <v>2007</v>
      </c>
      <c r="N125" s="1">
        <v>44007</v>
      </c>
      <c r="O125" s="1">
        <v>45111</v>
      </c>
      <c r="R125" t="s">
        <v>37</v>
      </c>
      <c r="V125">
        <v>1</v>
      </c>
      <c r="W125">
        <v>0</v>
      </c>
    </row>
    <row r="126" spans="1:23" x14ac:dyDescent="0.2">
      <c r="A126">
        <v>1</v>
      </c>
      <c r="B126" t="s">
        <v>698</v>
      </c>
      <c r="C126" t="s">
        <v>133</v>
      </c>
      <c r="D126" t="s">
        <v>134</v>
      </c>
      <c r="F126" t="str">
        <f>""</f>
        <v/>
      </c>
      <c r="G126" t="str">
        <f>""</f>
        <v/>
      </c>
      <c r="H126">
        <v>5</v>
      </c>
      <c r="I126" t="s">
        <v>699</v>
      </c>
      <c r="J126" t="s">
        <v>44</v>
      </c>
      <c r="K126">
        <v>652</v>
      </c>
      <c r="L126">
        <v>2006</v>
      </c>
      <c r="M126">
        <v>2005</v>
      </c>
      <c r="N126" s="1">
        <v>44003</v>
      </c>
      <c r="O126" s="1">
        <v>45111</v>
      </c>
      <c r="R126" t="s">
        <v>37</v>
      </c>
      <c r="V126">
        <v>1</v>
      </c>
      <c r="W126">
        <v>0</v>
      </c>
    </row>
    <row r="127" spans="1:23" x14ac:dyDescent="0.2">
      <c r="A127">
        <v>2</v>
      </c>
      <c r="B127" t="s">
        <v>700</v>
      </c>
      <c r="C127" t="s">
        <v>133</v>
      </c>
      <c r="D127" t="s">
        <v>134</v>
      </c>
      <c r="E127" t="s">
        <v>135</v>
      </c>
      <c r="F127" t="str">
        <f>"0439686520"</f>
        <v>0439686520</v>
      </c>
      <c r="G127" t="str">
        <f>"9780439686525"</f>
        <v>9780439686525</v>
      </c>
      <c r="H127">
        <v>2</v>
      </c>
      <c r="I127" t="s">
        <v>701</v>
      </c>
      <c r="J127" t="s">
        <v>44</v>
      </c>
      <c r="K127">
        <v>576</v>
      </c>
      <c r="L127">
        <v>2004</v>
      </c>
      <c r="M127">
        <v>2003</v>
      </c>
      <c r="N127" s="1">
        <v>44001</v>
      </c>
      <c r="O127" s="1">
        <v>45111</v>
      </c>
      <c r="R127" t="s">
        <v>37</v>
      </c>
      <c r="V127">
        <v>1</v>
      </c>
      <c r="W127">
        <v>0</v>
      </c>
    </row>
    <row r="128" spans="1:23" x14ac:dyDescent="0.2">
      <c r="A128">
        <v>6</v>
      </c>
      <c r="B128" t="s">
        <v>702</v>
      </c>
      <c r="C128" t="s">
        <v>133</v>
      </c>
      <c r="D128" t="s">
        <v>134</v>
      </c>
      <c r="E128" t="s">
        <v>135</v>
      </c>
      <c r="F128" t="str">
        <f>"0439139597"</f>
        <v>0439139597</v>
      </c>
      <c r="G128" t="str">
        <f>"9780439139595"</f>
        <v>9780439139595</v>
      </c>
      <c r="H128">
        <v>2</v>
      </c>
      <c r="I128" t="s">
        <v>703</v>
      </c>
      <c r="J128" t="s">
        <v>44</v>
      </c>
      <c r="K128">
        <v>734</v>
      </c>
      <c r="L128">
        <v>2002</v>
      </c>
      <c r="M128">
        <v>2000</v>
      </c>
      <c r="N128" s="1">
        <v>43997</v>
      </c>
      <c r="O128" s="1">
        <v>45111</v>
      </c>
      <c r="R128" t="s">
        <v>37</v>
      </c>
      <c r="V128">
        <v>1</v>
      </c>
      <c r="W128">
        <v>0</v>
      </c>
    </row>
    <row r="129" spans="1:23" x14ac:dyDescent="0.2">
      <c r="A129">
        <v>5</v>
      </c>
      <c r="B129" t="s">
        <v>704</v>
      </c>
      <c r="C129" t="s">
        <v>133</v>
      </c>
      <c r="D129" t="s">
        <v>134</v>
      </c>
      <c r="E129" t="s">
        <v>135</v>
      </c>
      <c r="F129" t="str">
        <f>"043965548X"</f>
        <v>043965548X</v>
      </c>
      <c r="G129" t="str">
        <f>"9780439655484"</f>
        <v>9780439655484</v>
      </c>
      <c r="H129">
        <v>3</v>
      </c>
      <c r="I129" t="s">
        <v>701</v>
      </c>
      <c r="J129" t="s">
        <v>321</v>
      </c>
      <c r="K129">
        <v>547</v>
      </c>
      <c r="L129">
        <v>2004</v>
      </c>
      <c r="M129">
        <v>1999</v>
      </c>
      <c r="N129" s="1">
        <v>43992</v>
      </c>
      <c r="O129" s="1">
        <v>45111</v>
      </c>
      <c r="R129" t="s">
        <v>37</v>
      </c>
      <c r="V129">
        <v>1</v>
      </c>
      <c r="W129">
        <v>0</v>
      </c>
    </row>
    <row r="130" spans="1:23" x14ac:dyDescent="0.2">
      <c r="A130">
        <v>420275</v>
      </c>
      <c r="B130" t="s">
        <v>705</v>
      </c>
      <c r="C130" t="s">
        <v>706</v>
      </c>
      <c r="D130" t="s">
        <v>707</v>
      </c>
      <c r="E130" t="s">
        <v>708</v>
      </c>
      <c r="F130" t="str">
        <f>"1568461933"</f>
        <v>1568461933</v>
      </c>
      <c r="G130" t="str">
        <f>"9781568461939"</f>
        <v>9781568461939</v>
      </c>
      <c r="H130">
        <v>3</v>
      </c>
      <c r="I130" t="s">
        <v>709</v>
      </c>
      <c r="J130" t="s">
        <v>28</v>
      </c>
      <c r="K130">
        <v>48</v>
      </c>
      <c r="L130">
        <v>2004</v>
      </c>
      <c r="M130">
        <v>1884</v>
      </c>
      <c r="N130" s="1">
        <v>44934</v>
      </c>
      <c r="O130" s="1">
        <v>45111</v>
      </c>
      <c r="R130" t="s">
        <v>37</v>
      </c>
      <c r="V130">
        <v>1</v>
      </c>
      <c r="W130">
        <v>0</v>
      </c>
    </row>
    <row r="131" spans="1:23" x14ac:dyDescent="0.2">
      <c r="A131">
        <v>49552</v>
      </c>
      <c r="B131" t="s">
        <v>710</v>
      </c>
      <c r="C131" t="s">
        <v>711</v>
      </c>
      <c r="D131" t="s">
        <v>712</v>
      </c>
      <c r="E131" t="s">
        <v>713</v>
      </c>
      <c r="F131" t="str">
        <f>""</f>
        <v/>
      </c>
      <c r="G131" t="str">
        <f>""</f>
        <v/>
      </c>
      <c r="H131">
        <v>5</v>
      </c>
      <c r="I131" t="s">
        <v>714</v>
      </c>
      <c r="J131" t="s">
        <v>44</v>
      </c>
      <c r="K131">
        <v>123</v>
      </c>
      <c r="L131">
        <v>1989</v>
      </c>
      <c r="M131">
        <v>1942</v>
      </c>
      <c r="O131" s="1">
        <v>45110</v>
      </c>
      <c r="P131" t="s">
        <v>633</v>
      </c>
      <c r="Q131" t="s">
        <v>715</v>
      </c>
      <c r="R131" t="s">
        <v>37</v>
      </c>
      <c r="V131">
        <v>1</v>
      </c>
      <c r="W131">
        <v>0</v>
      </c>
    </row>
    <row r="132" spans="1:23" x14ac:dyDescent="0.2">
      <c r="A132">
        <v>38926444</v>
      </c>
      <c r="B132" t="s">
        <v>716</v>
      </c>
      <c r="C132" t="s">
        <v>556</v>
      </c>
      <c r="D132" t="s">
        <v>557</v>
      </c>
      <c r="F132" t="str">
        <f>"1982104864"</f>
        <v>1982104864</v>
      </c>
      <c r="G132" t="str">
        <f>"9781982104863"</f>
        <v>9781982104863</v>
      </c>
      <c r="H132">
        <v>4</v>
      </c>
      <c r="I132" t="s">
        <v>558</v>
      </c>
      <c r="J132" t="s">
        <v>44</v>
      </c>
      <c r="K132">
        <v>240</v>
      </c>
      <c r="L132">
        <v>2018</v>
      </c>
      <c r="M132">
        <v>2018</v>
      </c>
      <c r="O132" s="1">
        <v>45110</v>
      </c>
      <c r="R132" t="s">
        <v>37</v>
      </c>
      <c r="V132">
        <v>1</v>
      </c>
      <c r="W132">
        <v>0</v>
      </c>
    </row>
    <row r="133" spans="1:23" x14ac:dyDescent="0.2">
      <c r="A133">
        <v>13214</v>
      </c>
      <c r="B133" t="s">
        <v>717</v>
      </c>
      <c r="C133" t="s">
        <v>718</v>
      </c>
      <c r="D133" t="s">
        <v>719</v>
      </c>
      <c r="F133" t="str">
        <f>"0553279378"</f>
        <v>0553279378</v>
      </c>
      <c r="G133" t="str">
        <f>"9780553279375"</f>
        <v>9780553279375</v>
      </c>
      <c r="H133">
        <v>2</v>
      </c>
      <c r="I133" t="s">
        <v>538</v>
      </c>
      <c r="J133" t="s">
        <v>44</v>
      </c>
      <c r="K133">
        <v>289</v>
      </c>
      <c r="L133">
        <v>1993</v>
      </c>
      <c r="M133">
        <v>1969</v>
      </c>
      <c r="O133" s="1">
        <v>45110</v>
      </c>
      <c r="R133" t="s">
        <v>37</v>
      </c>
      <c r="V133">
        <v>1</v>
      </c>
      <c r="W133">
        <v>0</v>
      </c>
    </row>
    <row r="134" spans="1:23" x14ac:dyDescent="0.2">
      <c r="A134">
        <v>2493</v>
      </c>
      <c r="B134" t="s">
        <v>720</v>
      </c>
      <c r="C134" t="s">
        <v>721</v>
      </c>
      <c r="D134" t="s">
        <v>722</v>
      </c>
      <c r="E134" t="s">
        <v>723</v>
      </c>
      <c r="F134" t="str">
        <f>""</f>
        <v/>
      </c>
      <c r="G134" t="str">
        <f>""</f>
        <v/>
      </c>
      <c r="H134">
        <v>3</v>
      </c>
      <c r="I134" t="s">
        <v>446</v>
      </c>
      <c r="J134" t="s">
        <v>44</v>
      </c>
      <c r="K134">
        <v>118</v>
      </c>
      <c r="L134">
        <v>2002</v>
      </c>
      <c r="M134">
        <v>1895</v>
      </c>
      <c r="O134" s="1">
        <v>45110</v>
      </c>
      <c r="R134" t="s">
        <v>37</v>
      </c>
      <c r="V134">
        <v>1</v>
      </c>
      <c r="W134">
        <v>0</v>
      </c>
    </row>
    <row r="135" spans="1:23" x14ac:dyDescent="0.2">
      <c r="A135">
        <v>3008</v>
      </c>
      <c r="B135" t="s">
        <v>724</v>
      </c>
      <c r="C135" t="s">
        <v>725</v>
      </c>
      <c r="D135" t="s">
        <v>726</v>
      </c>
      <c r="E135" t="s">
        <v>727</v>
      </c>
      <c r="F135" t="str">
        <f>"0142437018"</f>
        <v>0142437018</v>
      </c>
      <c r="G135" t="str">
        <f>"9780142437018"</f>
        <v>9780142437018</v>
      </c>
      <c r="H135">
        <v>4</v>
      </c>
      <c r="I135" t="s">
        <v>81</v>
      </c>
      <c r="J135" t="s">
        <v>44</v>
      </c>
      <c r="K135">
        <v>242</v>
      </c>
      <c r="L135">
        <v>2002</v>
      </c>
      <c r="M135">
        <v>1905</v>
      </c>
      <c r="O135" s="1">
        <v>45110</v>
      </c>
      <c r="R135" t="s">
        <v>37</v>
      </c>
      <c r="V135">
        <v>1</v>
      </c>
      <c r="W135">
        <v>0</v>
      </c>
    </row>
    <row r="136" spans="1:23" x14ac:dyDescent="0.2">
      <c r="A136">
        <v>960</v>
      </c>
      <c r="B136" t="s">
        <v>728</v>
      </c>
      <c r="C136" t="s">
        <v>729</v>
      </c>
      <c r="D136" t="s">
        <v>730</v>
      </c>
      <c r="F136" t="str">
        <f>"1416524797"</f>
        <v>1416524797</v>
      </c>
      <c r="G136" t="str">
        <f>"9781416524793"</f>
        <v>9781416524793</v>
      </c>
      <c r="H136">
        <v>3</v>
      </c>
      <c r="I136" t="s">
        <v>731</v>
      </c>
      <c r="J136" t="s">
        <v>321</v>
      </c>
      <c r="K136">
        <v>736</v>
      </c>
      <c r="L136">
        <v>2006</v>
      </c>
      <c r="M136">
        <v>2000</v>
      </c>
      <c r="O136" s="1">
        <v>45110</v>
      </c>
      <c r="R136" t="s">
        <v>37</v>
      </c>
      <c r="V136">
        <v>1</v>
      </c>
      <c r="W136">
        <v>0</v>
      </c>
    </row>
    <row r="137" spans="1:23" x14ac:dyDescent="0.2">
      <c r="A137">
        <v>93</v>
      </c>
      <c r="B137" t="s">
        <v>732</v>
      </c>
      <c r="C137" t="s">
        <v>733</v>
      </c>
      <c r="D137" t="s">
        <v>734</v>
      </c>
      <c r="E137" t="s">
        <v>735</v>
      </c>
      <c r="F137" t="str">
        <f>"0753454947"</f>
        <v>0753454947</v>
      </c>
      <c r="G137" t="str">
        <f>"9780753454947"</f>
        <v>9780753454947</v>
      </c>
      <c r="H137">
        <v>3</v>
      </c>
      <c r="I137" t="s">
        <v>736</v>
      </c>
      <c r="J137" t="s">
        <v>44</v>
      </c>
      <c r="K137">
        <v>352</v>
      </c>
      <c r="L137">
        <v>2002</v>
      </c>
      <c r="M137">
        <v>1880</v>
      </c>
      <c r="O137" s="1">
        <v>45110</v>
      </c>
      <c r="R137" t="s">
        <v>37</v>
      </c>
      <c r="V137">
        <v>1</v>
      </c>
      <c r="W137">
        <v>0</v>
      </c>
    </row>
    <row r="138" spans="1:23" x14ac:dyDescent="0.2">
      <c r="A138">
        <v>295</v>
      </c>
      <c r="B138" t="s">
        <v>737</v>
      </c>
      <c r="C138" t="s">
        <v>406</v>
      </c>
      <c r="D138" t="s">
        <v>407</v>
      </c>
      <c r="E138" t="s">
        <v>738</v>
      </c>
      <c r="F138" t="str">
        <f>"0753453800"</f>
        <v>0753453800</v>
      </c>
      <c r="G138" t="str">
        <f>"9780753453803"</f>
        <v>9780753453803</v>
      </c>
      <c r="H138">
        <v>2</v>
      </c>
      <c r="I138" t="s">
        <v>736</v>
      </c>
      <c r="J138" t="s">
        <v>28</v>
      </c>
      <c r="K138">
        <v>352</v>
      </c>
      <c r="L138">
        <v>2001</v>
      </c>
      <c r="M138">
        <v>1882</v>
      </c>
      <c r="O138" s="1">
        <v>45110</v>
      </c>
      <c r="R138" t="s">
        <v>37</v>
      </c>
      <c r="V138">
        <v>1</v>
      </c>
      <c r="W138">
        <v>0</v>
      </c>
    </row>
    <row r="139" spans="1:23" x14ac:dyDescent="0.2">
      <c r="A139">
        <v>17838490</v>
      </c>
      <c r="B139" t="s">
        <v>739</v>
      </c>
      <c r="C139" t="s">
        <v>740</v>
      </c>
      <c r="D139" t="s">
        <v>741</v>
      </c>
      <c r="F139" t="str">
        <f>"006231050X"</f>
        <v>006231050X</v>
      </c>
      <c r="G139" t="str">
        <f>"9780062310507"</f>
        <v>9780062310507</v>
      </c>
      <c r="H139">
        <v>1</v>
      </c>
      <c r="I139" t="s">
        <v>742</v>
      </c>
      <c r="J139" t="s">
        <v>28</v>
      </c>
      <c r="K139">
        <v>288</v>
      </c>
      <c r="L139">
        <v>2015</v>
      </c>
      <c r="M139">
        <v>2015</v>
      </c>
      <c r="O139" s="1">
        <v>45110</v>
      </c>
      <c r="R139" t="s">
        <v>37</v>
      </c>
      <c r="V139">
        <v>1</v>
      </c>
      <c r="W139">
        <v>0</v>
      </c>
    </row>
    <row r="140" spans="1:23" x14ac:dyDescent="0.2">
      <c r="A140">
        <v>7190</v>
      </c>
      <c r="B140" t="s">
        <v>743</v>
      </c>
      <c r="C140" t="s">
        <v>744</v>
      </c>
      <c r="D140" t="s">
        <v>745</v>
      </c>
      <c r="E140" t="s">
        <v>746</v>
      </c>
      <c r="F140" t="str">
        <f>""</f>
        <v/>
      </c>
      <c r="G140" t="str">
        <f>""</f>
        <v/>
      </c>
      <c r="H140">
        <v>3</v>
      </c>
      <c r="I140" t="s">
        <v>747</v>
      </c>
      <c r="J140" t="s">
        <v>44</v>
      </c>
      <c r="K140">
        <v>625</v>
      </c>
      <c r="L140">
        <v>2001</v>
      </c>
      <c r="M140">
        <v>1844</v>
      </c>
      <c r="O140" s="1">
        <v>45110</v>
      </c>
      <c r="R140" t="s">
        <v>37</v>
      </c>
      <c r="V140">
        <v>1</v>
      </c>
      <c r="W140">
        <v>0</v>
      </c>
    </row>
    <row r="141" spans="1:23" x14ac:dyDescent="0.2">
      <c r="A141">
        <v>2956</v>
      </c>
      <c r="B141" t="s">
        <v>748</v>
      </c>
      <c r="C141" t="s">
        <v>749</v>
      </c>
      <c r="D141" t="s">
        <v>750</v>
      </c>
      <c r="E141" t="s">
        <v>751</v>
      </c>
      <c r="F141" t="str">
        <f>"0142437174"</f>
        <v>0142437174</v>
      </c>
      <c r="G141" t="str">
        <f>"9780142437179"</f>
        <v>9780142437179</v>
      </c>
      <c r="H141">
        <v>3</v>
      </c>
      <c r="I141" t="s">
        <v>87</v>
      </c>
      <c r="J141" t="s">
        <v>44</v>
      </c>
      <c r="K141">
        <v>327</v>
      </c>
      <c r="L141">
        <v>2002</v>
      </c>
      <c r="M141">
        <v>1885</v>
      </c>
      <c r="O141" s="1">
        <v>45110</v>
      </c>
      <c r="R141" t="s">
        <v>37</v>
      </c>
      <c r="V141">
        <v>1</v>
      </c>
      <c r="W141">
        <v>0</v>
      </c>
    </row>
    <row r="142" spans="1:23" x14ac:dyDescent="0.2">
      <c r="A142">
        <v>640029</v>
      </c>
      <c r="B142" t="s">
        <v>752</v>
      </c>
      <c r="C142" t="s">
        <v>753</v>
      </c>
      <c r="D142" t="s">
        <v>754</v>
      </c>
      <c r="F142" t="str">
        <f>"037587528X"</f>
        <v>037587528X</v>
      </c>
      <c r="G142" t="str">
        <f>"9780375875281"</f>
        <v>9780375875281</v>
      </c>
      <c r="H142">
        <v>3</v>
      </c>
      <c r="I142" t="s">
        <v>755</v>
      </c>
      <c r="J142" t="s">
        <v>28</v>
      </c>
      <c r="K142">
        <v>296</v>
      </c>
      <c r="L142">
        <v>2007</v>
      </c>
      <c r="M142">
        <v>2007</v>
      </c>
      <c r="O142" s="1">
        <v>45110</v>
      </c>
      <c r="R142" t="s">
        <v>37</v>
      </c>
      <c r="V142">
        <v>1</v>
      </c>
      <c r="W142">
        <v>0</v>
      </c>
    </row>
    <row r="143" spans="1:23" x14ac:dyDescent="0.2">
      <c r="A143">
        <v>51497</v>
      </c>
      <c r="B143" t="s">
        <v>756</v>
      </c>
      <c r="C143" t="s">
        <v>406</v>
      </c>
      <c r="D143" t="s">
        <v>407</v>
      </c>
      <c r="E143" t="s">
        <v>757</v>
      </c>
      <c r="F143" t="str">
        <f>"0141439734"</f>
        <v>0141439734</v>
      </c>
      <c r="G143" t="str">
        <f>"9780141439730"</f>
        <v>9780141439730</v>
      </c>
      <c r="H143">
        <v>5</v>
      </c>
      <c r="I143" t="s">
        <v>87</v>
      </c>
      <c r="J143" t="s">
        <v>44</v>
      </c>
      <c r="K143">
        <v>224</v>
      </c>
      <c r="L143">
        <v>2003</v>
      </c>
      <c r="M143">
        <v>1886</v>
      </c>
      <c r="O143" s="1">
        <v>45110</v>
      </c>
      <c r="R143" t="s">
        <v>37</v>
      </c>
      <c r="V143">
        <v>1</v>
      </c>
      <c r="W143">
        <v>0</v>
      </c>
    </row>
    <row r="144" spans="1:23" x14ac:dyDescent="0.2">
      <c r="A144">
        <v>2623</v>
      </c>
      <c r="B144" t="s">
        <v>758</v>
      </c>
      <c r="C144" t="s">
        <v>232</v>
      </c>
      <c r="D144" t="s">
        <v>233</v>
      </c>
      <c r="E144" t="s">
        <v>759</v>
      </c>
      <c r="F144" t="str">
        <f>"0192833596"</f>
        <v>0192833596</v>
      </c>
      <c r="G144" t="str">
        <f>"9780192833594"</f>
        <v>9780192833594</v>
      </c>
      <c r="H144">
        <v>1</v>
      </c>
      <c r="I144" t="s">
        <v>760</v>
      </c>
      <c r="J144" t="s">
        <v>44</v>
      </c>
      <c r="K144">
        <v>544</v>
      </c>
      <c r="L144">
        <v>1998</v>
      </c>
      <c r="M144">
        <v>1861</v>
      </c>
      <c r="O144" s="1">
        <v>45110</v>
      </c>
      <c r="R144" t="s">
        <v>37</v>
      </c>
      <c r="V144">
        <v>1</v>
      </c>
      <c r="W144">
        <v>0</v>
      </c>
    </row>
    <row r="145" spans="1:23" x14ac:dyDescent="0.2">
      <c r="A145">
        <v>18167916</v>
      </c>
      <c r="B145" t="s">
        <v>761</v>
      </c>
      <c r="C145" t="s">
        <v>232</v>
      </c>
      <c r="D145" t="s">
        <v>233</v>
      </c>
      <c r="F145" t="str">
        <f>""</f>
        <v/>
      </c>
      <c r="G145" t="str">
        <f>""</f>
        <v/>
      </c>
      <c r="H145">
        <v>2</v>
      </c>
      <c r="I145" t="s">
        <v>762</v>
      </c>
      <c r="J145" t="s">
        <v>235</v>
      </c>
      <c r="K145">
        <v>504</v>
      </c>
      <c r="L145">
        <v>1902</v>
      </c>
      <c r="M145">
        <v>1859</v>
      </c>
      <c r="O145" s="1">
        <v>45110</v>
      </c>
      <c r="R145" t="s">
        <v>37</v>
      </c>
      <c r="V145">
        <v>1</v>
      </c>
      <c r="W145">
        <v>0</v>
      </c>
    </row>
    <row r="146" spans="1:23" x14ac:dyDescent="0.2">
      <c r="A146">
        <v>18254</v>
      </c>
      <c r="B146" t="s">
        <v>763</v>
      </c>
      <c r="C146" t="s">
        <v>232</v>
      </c>
      <c r="D146" t="s">
        <v>233</v>
      </c>
      <c r="E146" t="s">
        <v>764</v>
      </c>
      <c r="F146" t="str">
        <f>""</f>
        <v/>
      </c>
      <c r="G146" t="str">
        <f>""</f>
        <v/>
      </c>
      <c r="H146">
        <v>3</v>
      </c>
      <c r="I146" t="s">
        <v>81</v>
      </c>
      <c r="J146" t="s">
        <v>44</v>
      </c>
      <c r="K146">
        <v>608</v>
      </c>
      <c r="L146">
        <v>2003</v>
      </c>
      <c r="M146">
        <v>1838</v>
      </c>
      <c r="O146" s="1">
        <v>45110</v>
      </c>
      <c r="R146" t="s">
        <v>37</v>
      </c>
      <c r="V146">
        <v>1</v>
      </c>
      <c r="W146">
        <v>0</v>
      </c>
    </row>
    <row r="147" spans="1:23" x14ac:dyDescent="0.2">
      <c r="A147">
        <v>2165</v>
      </c>
      <c r="B147" t="s">
        <v>765</v>
      </c>
      <c r="C147" t="s">
        <v>766</v>
      </c>
      <c r="D147" t="s">
        <v>767</v>
      </c>
      <c r="F147" t="str">
        <f>"0684830493"</f>
        <v>0684830493</v>
      </c>
      <c r="G147" t="str">
        <f>"9780684830490"</f>
        <v>9780684830490</v>
      </c>
      <c r="H147">
        <v>4</v>
      </c>
      <c r="I147" t="s">
        <v>247</v>
      </c>
      <c r="J147" t="s">
        <v>28</v>
      </c>
      <c r="K147">
        <v>96</v>
      </c>
      <c r="L147">
        <v>1996</v>
      </c>
      <c r="M147">
        <v>1952</v>
      </c>
      <c r="O147" s="1">
        <v>45110</v>
      </c>
      <c r="R147" t="s">
        <v>37</v>
      </c>
      <c r="V147">
        <v>1</v>
      </c>
      <c r="W147">
        <v>0</v>
      </c>
    </row>
    <row r="148" spans="1:23" x14ac:dyDescent="0.2">
      <c r="A148">
        <v>18460392</v>
      </c>
      <c r="B148" t="s">
        <v>768</v>
      </c>
      <c r="C148" t="s">
        <v>769</v>
      </c>
      <c r="D148" t="s">
        <v>770</v>
      </c>
      <c r="F148" t="str">
        <f>"0385755880"</f>
        <v>0385755880</v>
      </c>
      <c r="G148" t="str">
        <f>"9780385755887"</f>
        <v>9780385755887</v>
      </c>
      <c r="H148">
        <v>4</v>
      </c>
      <c r="I148" t="s">
        <v>771</v>
      </c>
      <c r="J148" t="s">
        <v>28</v>
      </c>
      <c r="K148">
        <v>388</v>
      </c>
      <c r="L148">
        <v>2015</v>
      </c>
      <c r="M148">
        <v>2015</v>
      </c>
      <c r="O148" s="1">
        <v>45110</v>
      </c>
      <c r="R148" t="s">
        <v>37</v>
      </c>
      <c r="V148">
        <v>1</v>
      </c>
      <c r="W148">
        <v>0</v>
      </c>
    </row>
    <row r="149" spans="1:23" x14ac:dyDescent="0.2">
      <c r="A149">
        <v>18144590</v>
      </c>
      <c r="B149" t="s">
        <v>772</v>
      </c>
      <c r="C149" t="s">
        <v>773</v>
      </c>
      <c r="D149" t="s">
        <v>774</v>
      </c>
      <c r="F149" t="str">
        <f>"0062315005"</f>
        <v>0062315005</v>
      </c>
      <c r="G149" t="str">
        <f>"9780062315007"</f>
        <v>9780062315007</v>
      </c>
      <c r="H149">
        <v>4</v>
      </c>
      <c r="I149" t="s">
        <v>775</v>
      </c>
      <c r="J149" t="s">
        <v>44</v>
      </c>
      <c r="K149">
        <v>182</v>
      </c>
      <c r="L149">
        <v>2014</v>
      </c>
      <c r="M149">
        <v>1988</v>
      </c>
      <c r="O149" s="1">
        <v>45110</v>
      </c>
      <c r="R149" t="s">
        <v>37</v>
      </c>
      <c r="V149">
        <v>1</v>
      </c>
      <c r="W149">
        <v>0</v>
      </c>
    </row>
    <row r="150" spans="1:23" x14ac:dyDescent="0.2">
      <c r="A150">
        <v>22628</v>
      </c>
      <c r="B150" t="s">
        <v>776</v>
      </c>
      <c r="C150" t="s">
        <v>777</v>
      </c>
      <c r="D150" t="s">
        <v>778</v>
      </c>
      <c r="F150" t="str">
        <f>""</f>
        <v/>
      </c>
      <c r="G150" t="str">
        <f>""</f>
        <v/>
      </c>
      <c r="H150">
        <v>5</v>
      </c>
      <c r="I150" t="s">
        <v>779</v>
      </c>
      <c r="J150" t="s">
        <v>28</v>
      </c>
      <c r="K150">
        <v>213</v>
      </c>
      <c r="L150">
        <v>1999</v>
      </c>
      <c r="M150">
        <v>1999</v>
      </c>
      <c r="O150" s="1">
        <v>45110</v>
      </c>
      <c r="R150" t="s">
        <v>37</v>
      </c>
      <c r="V150">
        <v>1</v>
      </c>
      <c r="W15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goodreads_library_export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Angelica Mae H. Ferriol</cp:lastModifiedBy>
  <dcterms:created xsi:type="dcterms:W3CDTF">2026-07-23T01:40:33Z</dcterms:created>
  <dcterms:modified xsi:type="dcterms:W3CDTF">2026-07-23T01:40:33Z</dcterms:modified>
</cp:coreProperties>
</file>